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1204\Desktop\"/>
    </mc:Choice>
  </mc:AlternateContent>
  <bookViews>
    <workbookView windowWidth="24750" windowHeight="10480"/>
  </bookViews>
  <sheets>
    <sheet name="1-基金规模结构" sheetId="1" r:id="rId1"/>
    <sheet name="2-行业配置比例热力图" sheetId="2" r:id="rId2"/>
    <sheet name="3-行业集中度CR_HHI" sheetId="3" r:id="rId3"/>
    <sheet name="4-行业超配比例" sheetId="4" r:id="rId4"/>
    <sheet name="5-个股拥挤度" sheetId="5" r:id="rId5"/>
    <sheet name="5b-最新抱团股Top20" sheetId="6" r:id="rId6"/>
    <sheet name="6-基金仓位变化" sheetId="7" r:id="rId7"/>
    <sheet name="7-被动vs主动" sheetId="8" r:id="rId8"/>
    <sheet name="8-阈值与预警体系" sheetId="9" r:id="rId9"/>
    <sheet name="9-券商观点复核" sheetId="10" r:id="rId10"/>
    <sheet name="10-数据来源与验证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<sst xmlns="http://schemas.openxmlformats.org/spreadsheetml/2006/main" count="1019" uniqueCount="533">
  <si>
    <r>
      <rPr>
        <b/>
        <sz val="14"/>
        <color rgb="FF1F3864"/>
        <rFont val="微软雅黑"/>
        <charset val="134"/>
      </rPr>
      <t>模块A｜全市场公募基金规模与结构演变（1998-2026Q2）</t>
    </r>
  </si>
  <si>
    <r>
      <rPr>
        <sz val="9"/>
        <color rgb="FF808080"/>
        <rFont val="微软雅黑"/>
        <charset val="134"/>
      </rPr>
      <t>数据来源：天天基金/东方财富 fund_scale_change_em（基金业协会口径） → 查询日期：2026-09-29｜单位：亿元</t>
    </r>
  </si>
  <si>
    <r>
      <rPr>
        <b/>
        <sz val="10"/>
        <color rgb="FFFFFFFF"/>
        <rFont val="微软雅黑"/>
        <charset val="134"/>
      </rPr>
      <t>报告期</t>
    </r>
  </si>
  <si>
    <r>
      <rPr>
        <b/>
        <sz val="10"/>
        <color rgb="FFFFFFFF"/>
        <rFont val="微软雅黑"/>
        <charset val="134"/>
      </rPr>
      <t>基金只数</t>
    </r>
  </si>
  <si>
    <r>
      <rPr>
        <b/>
        <sz val="10"/>
        <color rgb="FFFFFFFF"/>
        <rFont val="微软雅黑"/>
        <charset val="134"/>
      </rPr>
      <t>期末总份额(亿份)</t>
    </r>
  </si>
  <si>
    <r>
      <rPr>
        <b/>
        <sz val="10"/>
        <color rgb="FFFFFFFF"/>
        <rFont val="微软雅黑"/>
        <charset val="134"/>
      </rPr>
      <t>期末净资产(亿元)</t>
    </r>
  </si>
  <si>
    <r>
      <rPr>
        <sz val="10"/>
        <rFont val="微软雅黑"/>
        <charset val="134"/>
      </rPr>
      <t>2006-03-31</t>
    </r>
  </si>
  <si>
    <r>
      <rPr>
        <sz val="10"/>
        <rFont val="微软雅黑"/>
        <charset val="134"/>
      </rPr>
      <t>2006-06-30</t>
    </r>
  </si>
  <si>
    <r>
      <rPr>
        <sz val="10"/>
        <rFont val="微软雅黑"/>
        <charset val="134"/>
      </rPr>
      <t>2006-09-30</t>
    </r>
  </si>
  <si>
    <r>
      <rPr>
        <sz val="10"/>
        <rFont val="微软雅黑"/>
        <charset val="134"/>
      </rPr>
      <t>2006-12-31</t>
    </r>
  </si>
  <si>
    <r>
      <rPr>
        <sz val="10"/>
        <rFont val="微软雅黑"/>
        <charset val="134"/>
      </rPr>
      <t>2007-03-31</t>
    </r>
  </si>
  <si>
    <r>
      <rPr>
        <sz val="10"/>
        <rFont val="微软雅黑"/>
        <charset val="134"/>
      </rPr>
      <t>2007-06-30</t>
    </r>
  </si>
  <si>
    <r>
      <rPr>
        <sz val="10"/>
        <rFont val="微软雅黑"/>
        <charset val="134"/>
      </rPr>
      <t>2007-09-30</t>
    </r>
  </si>
  <si>
    <r>
      <rPr>
        <sz val="10"/>
        <rFont val="微软雅黑"/>
        <charset val="134"/>
      </rPr>
      <t>2007-12-31</t>
    </r>
  </si>
  <si>
    <r>
      <rPr>
        <sz val="10"/>
        <rFont val="微软雅黑"/>
        <charset val="134"/>
      </rPr>
      <t>2008-03-31</t>
    </r>
  </si>
  <si>
    <r>
      <rPr>
        <sz val="10"/>
        <rFont val="微软雅黑"/>
        <charset val="134"/>
      </rPr>
      <t>2008-06-30</t>
    </r>
  </si>
  <si>
    <r>
      <rPr>
        <sz val="10"/>
        <rFont val="微软雅黑"/>
        <charset val="134"/>
      </rPr>
      <t>2008-09-30</t>
    </r>
  </si>
  <si>
    <r>
      <rPr>
        <sz val="10"/>
        <rFont val="微软雅黑"/>
        <charset val="134"/>
      </rPr>
      <t>2008-12-31</t>
    </r>
  </si>
  <si>
    <r>
      <rPr>
        <sz val="10"/>
        <rFont val="微软雅黑"/>
        <charset val="134"/>
      </rPr>
      <t>2009-03-31</t>
    </r>
  </si>
  <si>
    <r>
      <rPr>
        <sz val="10"/>
        <rFont val="微软雅黑"/>
        <charset val="134"/>
      </rPr>
      <t>2009-06-30</t>
    </r>
  </si>
  <si>
    <r>
      <rPr>
        <sz val="10"/>
        <rFont val="微软雅黑"/>
        <charset val="134"/>
      </rPr>
      <t>2009-09-30</t>
    </r>
  </si>
  <si>
    <r>
      <rPr>
        <sz val="10"/>
        <rFont val="微软雅黑"/>
        <charset val="134"/>
      </rPr>
      <t>2009-12-31</t>
    </r>
  </si>
  <si>
    <r>
      <rPr>
        <sz val="10"/>
        <rFont val="微软雅黑"/>
        <charset val="134"/>
      </rPr>
      <t>2010-03-31</t>
    </r>
  </si>
  <si>
    <r>
      <rPr>
        <sz val="10"/>
        <rFont val="微软雅黑"/>
        <charset val="134"/>
      </rPr>
      <t>2010-06-30</t>
    </r>
  </si>
  <si>
    <r>
      <rPr>
        <sz val="10"/>
        <rFont val="微软雅黑"/>
        <charset val="134"/>
      </rPr>
      <t>2010-09-30</t>
    </r>
  </si>
  <si>
    <r>
      <rPr>
        <sz val="10"/>
        <rFont val="微软雅黑"/>
        <charset val="134"/>
      </rPr>
      <t>2010-12-31</t>
    </r>
  </si>
  <si>
    <r>
      <rPr>
        <sz val="10"/>
        <rFont val="微软雅黑"/>
        <charset val="134"/>
      </rPr>
      <t>2011-03-31</t>
    </r>
  </si>
  <si>
    <r>
      <rPr>
        <sz val="10"/>
        <rFont val="微软雅黑"/>
        <charset val="134"/>
      </rPr>
      <t>2011-06-30</t>
    </r>
  </si>
  <si>
    <r>
      <rPr>
        <sz val="10"/>
        <rFont val="微软雅黑"/>
        <charset val="134"/>
      </rPr>
      <t>2011-09-30</t>
    </r>
  </si>
  <si>
    <r>
      <rPr>
        <sz val="10"/>
        <rFont val="微软雅黑"/>
        <charset val="134"/>
      </rPr>
      <t>2011-12-31</t>
    </r>
  </si>
  <si>
    <r>
      <rPr>
        <sz val="10"/>
        <rFont val="微软雅黑"/>
        <charset val="134"/>
      </rPr>
      <t>2012-03-31</t>
    </r>
  </si>
  <si>
    <r>
      <rPr>
        <sz val="10"/>
        <rFont val="微软雅黑"/>
        <charset val="134"/>
      </rPr>
      <t>2012-06-30</t>
    </r>
  </si>
  <si>
    <r>
      <rPr>
        <sz val="10"/>
        <rFont val="微软雅黑"/>
        <charset val="134"/>
      </rPr>
      <t>2012-09-30</t>
    </r>
  </si>
  <si>
    <r>
      <rPr>
        <sz val="10"/>
        <rFont val="微软雅黑"/>
        <charset val="134"/>
      </rPr>
      <t>2012-12-31</t>
    </r>
  </si>
  <si>
    <r>
      <rPr>
        <sz val="10"/>
        <rFont val="微软雅黑"/>
        <charset val="134"/>
      </rPr>
      <t>2013-03-31</t>
    </r>
  </si>
  <si>
    <r>
      <rPr>
        <sz val="10"/>
        <rFont val="微软雅黑"/>
        <charset val="134"/>
      </rPr>
      <t>2013-06-30</t>
    </r>
  </si>
  <si>
    <r>
      <rPr>
        <sz val="10"/>
        <rFont val="微软雅黑"/>
        <charset val="134"/>
      </rPr>
      <t>2013-09-30</t>
    </r>
  </si>
  <si>
    <r>
      <rPr>
        <sz val="10"/>
        <rFont val="微软雅黑"/>
        <charset val="134"/>
      </rPr>
      <t>2013-12-31</t>
    </r>
  </si>
  <si>
    <r>
      <rPr>
        <sz val="10"/>
        <rFont val="微软雅黑"/>
        <charset val="134"/>
      </rPr>
      <t>2014-03-31</t>
    </r>
  </si>
  <si>
    <r>
      <rPr>
        <sz val="10"/>
        <rFont val="微软雅黑"/>
        <charset val="134"/>
      </rPr>
      <t>2014-06-30</t>
    </r>
  </si>
  <si>
    <r>
      <rPr>
        <sz val="10"/>
        <rFont val="微软雅黑"/>
        <charset val="134"/>
      </rPr>
      <t>2014-09-30</t>
    </r>
  </si>
  <si>
    <r>
      <rPr>
        <sz val="10"/>
        <rFont val="微软雅黑"/>
        <charset val="134"/>
      </rPr>
      <t>2014-12-31</t>
    </r>
  </si>
  <si>
    <r>
      <rPr>
        <sz val="10"/>
        <rFont val="微软雅黑"/>
        <charset val="134"/>
      </rPr>
      <t>2015-03-31</t>
    </r>
  </si>
  <si>
    <r>
      <rPr>
        <sz val="10"/>
        <rFont val="微软雅黑"/>
        <charset val="134"/>
      </rPr>
      <t>2015-06-30</t>
    </r>
  </si>
  <si>
    <r>
      <rPr>
        <sz val="10"/>
        <rFont val="微软雅黑"/>
        <charset val="134"/>
      </rPr>
      <t>2015-09-30</t>
    </r>
  </si>
  <si>
    <r>
      <rPr>
        <sz val="10"/>
        <rFont val="微软雅黑"/>
        <charset val="134"/>
      </rPr>
      <t>2015-12-31</t>
    </r>
  </si>
  <si>
    <r>
      <rPr>
        <sz val="10"/>
        <rFont val="微软雅黑"/>
        <charset val="134"/>
      </rPr>
      <t>2016-03-31</t>
    </r>
  </si>
  <si>
    <r>
      <rPr>
        <sz val="10"/>
        <rFont val="微软雅黑"/>
        <charset val="134"/>
      </rPr>
      <t>2016-06-30</t>
    </r>
  </si>
  <si>
    <r>
      <rPr>
        <sz val="10"/>
        <rFont val="微软雅黑"/>
        <charset val="134"/>
      </rPr>
      <t>2016-09-30</t>
    </r>
  </si>
  <si>
    <r>
      <rPr>
        <sz val="10"/>
        <rFont val="微软雅黑"/>
        <charset val="134"/>
      </rPr>
      <t>2016-12-31</t>
    </r>
  </si>
  <si>
    <r>
      <rPr>
        <sz val="10"/>
        <rFont val="微软雅黑"/>
        <charset val="134"/>
      </rPr>
      <t>2017-03-31</t>
    </r>
  </si>
  <si>
    <r>
      <rPr>
        <sz val="10"/>
        <rFont val="微软雅黑"/>
        <charset val="134"/>
      </rPr>
      <t>2017-06-30</t>
    </r>
  </si>
  <si>
    <r>
      <rPr>
        <sz val="10"/>
        <rFont val="微软雅黑"/>
        <charset val="134"/>
      </rPr>
      <t>2017-09-30</t>
    </r>
  </si>
  <si>
    <r>
      <rPr>
        <sz val="10"/>
        <rFont val="微软雅黑"/>
        <charset val="134"/>
      </rPr>
      <t>2017-12-31</t>
    </r>
  </si>
  <si>
    <r>
      <rPr>
        <sz val="10"/>
        <rFont val="微软雅黑"/>
        <charset val="134"/>
      </rPr>
      <t>2018-03-31</t>
    </r>
  </si>
  <si>
    <r>
      <rPr>
        <sz val="10"/>
        <rFont val="微软雅黑"/>
        <charset val="134"/>
      </rPr>
      <t>2018-06-30</t>
    </r>
  </si>
  <si>
    <r>
      <rPr>
        <sz val="10"/>
        <rFont val="微软雅黑"/>
        <charset val="134"/>
      </rPr>
      <t>2018-09-30</t>
    </r>
  </si>
  <si>
    <r>
      <rPr>
        <sz val="10"/>
        <rFont val="微软雅黑"/>
        <charset val="134"/>
      </rPr>
      <t>2018-12-31</t>
    </r>
  </si>
  <si>
    <r>
      <rPr>
        <sz val="10"/>
        <rFont val="微软雅黑"/>
        <charset val="134"/>
      </rPr>
      <t>2019-03-31</t>
    </r>
  </si>
  <si>
    <r>
      <rPr>
        <sz val="10"/>
        <rFont val="微软雅黑"/>
        <charset val="134"/>
      </rPr>
      <t>2019-06-30</t>
    </r>
  </si>
  <si>
    <r>
      <rPr>
        <sz val="10"/>
        <rFont val="微软雅黑"/>
        <charset val="134"/>
      </rPr>
      <t>2019-09-30</t>
    </r>
  </si>
  <si>
    <r>
      <rPr>
        <sz val="10"/>
        <rFont val="微软雅黑"/>
        <charset val="134"/>
      </rPr>
      <t>2019-12-31</t>
    </r>
  </si>
  <si>
    <r>
      <rPr>
        <sz val="10"/>
        <rFont val="微软雅黑"/>
        <charset val="134"/>
      </rPr>
      <t>2020-03-31</t>
    </r>
  </si>
  <si>
    <r>
      <rPr>
        <sz val="10"/>
        <rFont val="微软雅黑"/>
        <charset val="134"/>
      </rPr>
      <t>2020-06-30</t>
    </r>
  </si>
  <si>
    <r>
      <rPr>
        <sz val="10"/>
        <rFont val="微软雅黑"/>
        <charset val="134"/>
      </rPr>
      <t>2020-09-30</t>
    </r>
  </si>
  <si>
    <r>
      <rPr>
        <sz val="10"/>
        <rFont val="微软雅黑"/>
        <charset val="134"/>
      </rPr>
      <t>2020-12-31</t>
    </r>
  </si>
  <si>
    <r>
      <rPr>
        <sz val="10"/>
        <rFont val="微软雅黑"/>
        <charset val="134"/>
      </rPr>
      <t>2021-03-31</t>
    </r>
  </si>
  <si>
    <r>
      <rPr>
        <sz val="10"/>
        <rFont val="微软雅黑"/>
        <charset val="134"/>
      </rPr>
      <t>2021-06-30</t>
    </r>
  </si>
  <si>
    <r>
      <rPr>
        <sz val="10"/>
        <rFont val="微软雅黑"/>
        <charset val="134"/>
      </rPr>
      <t>2021-09-30</t>
    </r>
  </si>
  <si>
    <r>
      <rPr>
        <sz val="10"/>
        <rFont val="微软雅黑"/>
        <charset val="134"/>
      </rPr>
      <t>2021-12-31</t>
    </r>
  </si>
  <si>
    <r>
      <rPr>
        <sz val="10"/>
        <rFont val="微软雅黑"/>
        <charset val="134"/>
      </rPr>
      <t>2022-03-31</t>
    </r>
  </si>
  <si>
    <r>
      <rPr>
        <sz val="10"/>
        <rFont val="微软雅黑"/>
        <charset val="134"/>
      </rPr>
      <t>2022-06-30</t>
    </r>
  </si>
  <si>
    <r>
      <rPr>
        <sz val="10"/>
        <rFont val="微软雅黑"/>
        <charset val="134"/>
      </rPr>
      <t>2022-09-30</t>
    </r>
  </si>
  <si>
    <r>
      <rPr>
        <sz val="10"/>
        <rFont val="微软雅黑"/>
        <charset val="134"/>
      </rPr>
      <t>2022-12-31</t>
    </r>
  </si>
  <si>
    <r>
      <rPr>
        <sz val="10"/>
        <rFont val="微软雅黑"/>
        <charset val="134"/>
      </rPr>
      <t>2023-03-31</t>
    </r>
  </si>
  <si>
    <r>
      <rPr>
        <sz val="10"/>
        <rFont val="微软雅黑"/>
        <charset val="134"/>
      </rPr>
      <t>2023-06-30</t>
    </r>
  </si>
  <si>
    <r>
      <rPr>
        <sz val="10"/>
        <rFont val="微软雅黑"/>
        <charset val="134"/>
      </rPr>
      <t>2023-09-30</t>
    </r>
  </si>
  <si>
    <r>
      <rPr>
        <sz val="10"/>
        <rFont val="微软雅黑"/>
        <charset val="134"/>
      </rPr>
      <t>2023-12-31</t>
    </r>
  </si>
  <si>
    <r>
      <rPr>
        <sz val="10"/>
        <rFont val="微软雅黑"/>
        <charset val="134"/>
      </rPr>
      <t>2024-03-31</t>
    </r>
  </si>
  <si>
    <r>
      <rPr>
        <sz val="10"/>
        <rFont val="微软雅黑"/>
        <charset val="134"/>
      </rPr>
      <t>2024-06-30</t>
    </r>
  </si>
  <si>
    <r>
      <rPr>
        <sz val="10"/>
        <rFont val="微软雅黑"/>
        <charset val="134"/>
      </rPr>
      <t>2024-09-30</t>
    </r>
  </si>
  <si>
    <r>
      <rPr>
        <sz val="10"/>
        <rFont val="微软雅黑"/>
        <charset val="134"/>
      </rPr>
      <t>2024-12-31</t>
    </r>
  </si>
  <si>
    <r>
      <rPr>
        <sz val="10"/>
        <rFont val="微软雅黑"/>
        <charset val="134"/>
      </rPr>
      <t>2025-03-31</t>
    </r>
  </si>
  <si>
    <r>
      <rPr>
        <sz val="10"/>
        <rFont val="微软雅黑"/>
        <charset val="134"/>
      </rPr>
      <t>2025-06-30</t>
    </r>
  </si>
  <si>
    <r>
      <rPr>
        <sz val="10"/>
        <rFont val="微软雅黑"/>
        <charset val="134"/>
      </rPr>
      <t>2025-09-30</t>
    </r>
  </si>
  <si>
    <r>
      <rPr>
        <sz val="10"/>
        <rFont val="微软雅黑"/>
        <charset val="134"/>
      </rPr>
      <t>2025-12-31</t>
    </r>
  </si>
  <si>
    <r>
      <rPr>
        <sz val="10"/>
        <rFont val="微软雅黑"/>
        <charset val="134"/>
      </rPr>
      <t>2026-03-31</t>
    </r>
  </si>
  <si>
    <r>
      <rPr>
        <sz val="10"/>
        <rFont val="微软雅黑"/>
        <charset val="134"/>
      </rPr>
      <t>2026-06-30</t>
    </r>
  </si>
  <si>
    <r>
      <rPr>
        <sz val="9"/>
        <color rgb="FF808080"/>
        <rFont val="微软雅黑"/>
        <charset val="134"/>
      </rPr>
      <t>注：期末净资产为基金业协会口径全市场合计；报告期为月度末/季末披露值。</t>
    </r>
  </si>
  <si>
    <r>
      <rPr>
        <b/>
        <sz val="14"/>
        <color rgb="FF1F3864"/>
        <rFont val="微软雅黑"/>
        <charset val="134"/>
      </rPr>
      <t>模块B｜主动权益基金申万一级行业配置比例（2018Q1-2026Q2）</t>
    </r>
  </si>
  <si>
    <r>
      <rPr>
        <sz val="9"/>
        <color rgb="FF808080"/>
        <rFont val="微软雅黑"/>
        <charset val="134"/>
      </rPr>
      <t>数据来源：天天基金 fund_portfolio_hold_em（基金季报前十大重仓股）→ 申万一级成分映射自建聚合 → 查询日期：2026-09-29｜单位：%</t>
    </r>
  </si>
  <si>
    <r>
      <rPr>
        <b/>
        <sz val="10"/>
        <color rgb="FFFFFFFF"/>
        <rFont val="微软雅黑"/>
        <charset val="134"/>
      </rPr>
      <t>季度</t>
    </r>
  </si>
  <si>
    <r>
      <rPr>
        <b/>
        <sz val="10"/>
        <color rgb="FFFFFFFF"/>
        <rFont val="微软雅黑"/>
        <charset val="134"/>
      </rPr>
      <t>农林牧渔</t>
    </r>
  </si>
  <si>
    <r>
      <rPr>
        <b/>
        <sz val="10"/>
        <color rgb="FFFFFFFF"/>
        <rFont val="微软雅黑"/>
        <charset val="134"/>
      </rPr>
      <t>基础化工</t>
    </r>
  </si>
  <si>
    <r>
      <rPr>
        <b/>
        <sz val="10"/>
        <color rgb="FFFFFFFF"/>
        <rFont val="微软雅黑"/>
        <charset val="134"/>
      </rPr>
      <t>钢铁</t>
    </r>
  </si>
  <si>
    <r>
      <rPr>
        <b/>
        <sz val="10"/>
        <color rgb="FFFFFFFF"/>
        <rFont val="微软雅黑"/>
        <charset val="134"/>
      </rPr>
      <t>有色金属</t>
    </r>
  </si>
  <si>
    <r>
      <rPr>
        <b/>
        <sz val="10"/>
        <color rgb="FFFFFFFF"/>
        <rFont val="微软雅黑"/>
        <charset val="134"/>
      </rPr>
      <t>电子</t>
    </r>
  </si>
  <si>
    <r>
      <rPr>
        <b/>
        <sz val="10"/>
        <color rgb="FFFFFFFF"/>
        <rFont val="微软雅黑"/>
        <charset val="134"/>
      </rPr>
      <t>汽车</t>
    </r>
  </si>
  <si>
    <r>
      <rPr>
        <b/>
        <sz val="10"/>
        <color rgb="FFFFFFFF"/>
        <rFont val="微软雅黑"/>
        <charset val="134"/>
      </rPr>
      <t>家用电器</t>
    </r>
  </si>
  <si>
    <r>
      <rPr>
        <b/>
        <sz val="10"/>
        <color rgb="FFFFFFFF"/>
        <rFont val="微软雅黑"/>
        <charset val="134"/>
      </rPr>
      <t>食品饮料</t>
    </r>
  </si>
  <si>
    <r>
      <rPr>
        <b/>
        <sz val="10"/>
        <color rgb="FFFFFFFF"/>
        <rFont val="微软雅黑"/>
        <charset val="134"/>
      </rPr>
      <t>纺织服饰</t>
    </r>
  </si>
  <si>
    <r>
      <rPr>
        <b/>
        <sz val="10"/>
        <color rgb="FFFFFFFF"/>
        <rFont val="微软雅黑"/>
        <charset val="134"/>
      </rPr>
      <t>轻工制造</t>
    </r>
  </si>
  <si>
    <r>
      <rPr>
        <b/>
        <sz val="10"/>
        <color rgb="FFFFFFFF"/>
        <rFont val="微软雅黑"/>
        <charset val="134"/>
      </rPr>
      <t>医药生物</t>
    </r>
  </si>
  <si>
    <r>
      <rPr>
        <b/>
        <sz val="10"/>
        <color rgb="FFFFFFFF"/>
        <rFont val="微软雅黑"/>
        <charset val="134"/>
      </rPr>
      <t>公用事业</t>
    </r>
  </si>
  <si>
    <r>
      <rPr>
        <b/>
        <sz val="10"/>
        <color rgb="FFFFFFFF"/>
        <rFont val="微软雅黑"/>
        <charset val="134"/>
      </rPr>
      <t>交通运输</t>
    </r>
  </si>
  <si>
    <r>
      <rPr>
        <b/>
        <sz val="10"/>
        <color rgb="FFFFFFFF"/>
        <rFont val="微软雅黑"/>
        <charset val="134"/>
      </rPr>
      <t>房地产</t>
    </r>
  </si>
  <si>
    <r>
      <rPr>
        <b/>
        <sz val="10"/>
        <color rgb="FFFFFFFF"/>
        <rFont val="微软雅黑"/>
        <charset val="134"/>
      </rPr>
      <t>商贸零售</t>
    </r>
  </si>
  <si>
    <r>
      <rPr>
        <b/>
        <sz val="10"/>
        <color rgb="FFFFFFFF"/>
        <rFont val="微软雅黑"/>
        <charset val="134"/>
      </rPr>
      <t>社会服务</t>
    </r>
  </si>
  <si>
    <r>
      <rPr>
        <b/>
        <sz val="10"/>
        <color rgb="FFFFFFFF"/>
        <rFont val="微软雅黑"/>
        <charset val="134"/>
      </rPr>
      <t>银行</t>
    </r>
  </si>
  <si>
    <r>
      <rPr>
        <b/>
        <sz val="10"/>
        <color rgb="FFFFFFFF"/>
        <rFont val="微软雅黑"/>
        <charset val="134"/>
      </rPr>
      <t>非银金融</t>
    </r>
  </si>
  <si>
    <r>
      <rPr>
        <b/>
        <sz val="10"/>
        <color rgb="FFFFFFFF"/>
        <rFont val="微软雅黑"/>
        <charset val="134"/>
      </rPr>
      <t>综合</t>
    </r>
  </si>
  <si>
    <r>
      <rPr>
        <b/>
        <sz val="10"/>
        <color rgb="FFFFFFFF"/>
        <rFont val="微软雅黑"/>
        <charset val="134"/>
      </rPr>
      <t>建筑材料</t>
    </r>
  </si>
  <si>
    <r>
      <rPr>
        <b/>
        <sz val="10"/>
        <color rgb="FFFFFFFF"/>
        <rFont val="微软雅黑"/>
        <charset val="134"/>
      </rPr>
      <t>建筑装饰</t>
    </r>
  </si>
  <si>
    <r>
      <rPr>
        <b/>
        <sz val="10"/>
        <color rgb="FFFFFFFF"/>
        <rFont val="微软雅黑"/>
        <charset val="134"/>
      </rPr>
      <t>电力设备</t>
    </r>
  </si>
  <si>
    <r>
      <rPr>
        <b/>
        <sz val="10"/>
        <color rgb="FFFFFFFF"/>
        <rFont val="微软雅黑"/>
        <charset val="134"/>
      </rPr>
      <t>机械设备</t>
    </r>
  </si>
  <si>
    <r>
      <rPr>
        <b/>
        <sz val="10"/>
        <color rgb="FFFFFFFF"/>
        <rFont val="微软雅黑"/>
        <charset val="134"/>
      </rPr>
      <t>国防军工</t>
    </r>
  </si>
  <si>
    <r>
      <rPr>
        <b/>
        <sz val="10"/>
        <color rgb="FFFFFFFF"/>
        <rFont val="微软雅黑"/>
        <charset val="134"/>
      </rPr>
      <t>计算机</t>
    </r>
  </si>
  <si>
    <r>
      <rPr>
        <b/>
        <sz val="10"/>
        <color rgb="FFFFFFFF"/>
        <rFont val="微软雅黑"/>
        <charset val="134"/>
      </rPr>
      <t>传媒</t>
    </r>
  </si>
  <si>
    <r>
      <rPr>
        <b/>
        <sz val="10"/>
        <color rgb="FFFFFFFF"/>
        <rFont val="微软雅黑"/>
        <charset val="134"/>
      </rPr>
      <t>通信</t>
    </r>
  </si>
  <si>
    <r>
      <rPr>
        <b/>
        <sz val="10"/>
        <color rgb="FFFFFFFF"/>
        <rFont val="微软雅黑"/>
        <charset val="134"/>
      </rPr>
      <t>煤炭</t>
    </r>
  </si>
  <si>
    <r>
      <rPr>
        <b/>
        <sz val="10"/>
        <color rgb="FFFFFFFF"/>
        <rFont val="微软雅黑"/>
        <charset val="134"/>
      </rPr>
      <t>石油石化</t>
    </r>
  </si>
  <si>
    <r>
      <rPr>
        <b/>
        <sz val="10"/>
        <color rgb="FFFFFFFF"/>
        <rFont val="微软雅黑"/>
        <charset val="134"/>
      </rPr>
      <t>环保</t>
    </r>
  </si>
  <si>
    <r>
      <rPr>
        <b/>
        <sz val="10"/>
        <color rgb="FFFFFFFF"/>
        <rFont val="微软雅黑"/>
        <charset val="134"/>
      </rPr>
      <t>美容护理</t>
    </r>
  </si>
  <si>
    <r>
      <rPr>
        <sz val="10"/>
        <rFont val="微软雅黑"/>
        <charset val="134"/>
      </rPr>
      <t>2018Q1</t>
    </r>
  </si>
  <si>
    <r>
      <rPr>
        <sz val="10"/>
        <rFont val="微软雅黑"/>
        <charset val="134"/>
      </rPr>
      <t>2018Q2</t>
    </r>
  </si>
  <si>
    <r>
      <rPr>
        <sz val="10"/>
        <rFont val="微软雅黑"/>
        <charset val="134"/>
      </rPr>
      <t>2018Q3</t>
    </r>
  </si>
  <si>
    <r>
      <rPr>
        <sz val="10"/>
        <rFont val="微软雅黑"/>
        <charset val="134"/>
      </rPr>
      <t>2018Q4</t>
    </r>
  </si>
  <si>
    <r>
      <rPr>
        <sz val="10"/>
        <rFont val="微软雅黑"/>
        <charset val="134"/>
      </rPr>
      <t>2019Q1</t>
    </r>
  </si>
  <si>
    <r>
      <rPr>
        <sz val="10"/>
        <rFont val="微软雅黑"/>
        <charset val="134"/>
      </rPr>
      <t>2019Q2</t>
    </r>
  </si>
  <si>
    <r>
      <rPr>
        <sz val="10"/>
        <rFont val="微软雅黑"/>
        <charset val="134"/>
      </rPr>
      <t>2019Q3</t>
    </r>
  </si>
  <si>
    <r>
      <rPr>
        <sz val="10"/>
        <rFont val="微软雅黑"/>
        <charset val="134"/>
      </rPr>
      <t>2019Q4</t>
    </r>
  </si>
  <si>
    <r>
      <rPr>
        <sz val="10"/>
        <rFont val="微软雅黑"/>
        <charset val="134"/>
      </rPr>
      <t>2020Q1</t>
    </r>
  </si>
  <si>
    <r>
      <rPr>
        <sz val="10"/>
        <rFont val="微软雅黑"/>
        <charset val="134"/>
      </rPr>
      <t>2020Q2</t>
    </r>
  </si>
  <si>
    <r>
      <rPr>
        <sz val="10"/>
        <rFont val="微软雅黑"/>
        <charset val="134"/>
      </rPr>
      <t>2020Q3</t>
    </r>
  </si>
  <si>
    <r>
      <rPr>
        <sz val="10"/>
        <rFont val="微软雅黑"/>
        <charset val="134"/>
      </rPr>
      <t>2020Q4</t>
    </r>
  </si>
  <si>
    <r>
      <rPr>
        <sz val="10"/>
        <rFont val="微软雅黑"/>
        <charset val="134"/>
      </rPr>
      <t>2021Q1</t>
    </r>
  </si>
  <si>
    <r>
      <rPr>
        <sz val="10"/>
        <rFont val="微软雅黑"/>
        <charset val="134"/>
      </rPr>
      <t>2021Q2</t>
    </r>
  </si>
  <si>
    <r>
      <rPr>
        <sz val="10"/>
        <rFont val="微软雅黑"/>
        <charset val="134"/>
      </rPr>
      <t>2021Q3</t>
    </r>
  </si>
  <si>
    <r>
      <rPr>
        <sz val="10"/>
        <rFont val="微软雅黑"/>
        <charset val="134"/>
      </rPr>
      <t>2021Q4</t>
    </r>
  </si>
  <si>
    <r>
      <rPr>
        <sz val="10"/>
        <rFont val="微软雅黑"/>
        <charset val="134"/>
      </rPr>
      <t>2022Q1</t>
    </r>
  </si>
  <si>
    <r>
      <rPr>
        <sz val="10"/>
        <rFont val="微软雅黑"/>
        <charset val="134"/>
      </rPr>
      <t>2022Q2</t>
    </r>
  </si>
  <si>
    <r>
      <rPr>
        <sz val="10"/>
        <rFont val="微软雅黑"/>
        <charset val="134"/>
      </rPr>
      <t>2022Q3</t>
    </r>
  </si>
  <si>
    <r>
      <rPr>
        <sz val="10"/>
        <rFont val="微软雅黑"/>
        <charset val="134"/>
      </rPr>
      <t>2022Q4</t>
    </r>
  </si>
  <si>
    <r>
      <rPr>
        <sz val="10"/>
        <rFont val="微软雅黑"/>
        <charset val="134"/>
      </rPr>
      <t>2023Q1</t>
    </r>
  </si>
  <si>
    <r>
      <rPr>
        <sz val="10"/>
        <rFont val="微软雅黑"/>
        <charset val="134"/>
      </rPr>
      <t>2023Q2</t>
    </r>
  </si>
  <si>
    <r>
      <rPr>
        <sz val="10"/>
        <rFont val="微软雅黑"/>
        <charset val="134"/>
      </rPr>
      <t>2023Q3</t>
    </r>
  </si>
  <si>
    <r>
      <rPr>
        <sz val="10"/>
        <rFont val="微软雅黑"/>
        <charset val="134"/>
      </rPr>
      <t>2023Q4</t>
    </r>
  </si>
  <si>
    <r>
      <rPr>
        <sz val="10"/>
        <rFont val="微软雅黑"/>
        <charset val="134"/>
      </rPr>
      <t>2024Q1</t>
    </r>
  </si>
  <si>
    <r>
      <rPr>
        <sz val="10"/>
        <rFont val="微软雅黑"/>
        <charset val="134"/>
      </rPr>
      <t>2024Q2</t>
    </r>
  </si>
  <si>
    <r>
      <rPr>
        <sz val="10"/>
        <rFont val="微软雅黑"/>
        <charset val="134"/>
      </rPr>
      <t>2024Q3</t>
    </r>
  </si>
  <si>
    <r>
      <rPr>
        <sz val="10"/>
        <rFont val="微软雅黑"/>
        <charset val="134"/>
      </rPr>
      <t>2024Q4</t>
    </r>
  </si>
  <si>
    <r>
      <rPr>
        <sz val="10"/>
        <rFont val="微软雅黑"/>
        <charset val="134"/>
      </rPr>
      <t>2025Q1</t>
    </r>
  </si>
  <si>
    <r>
      <rPr>
        <sz val="10"/>
        <rFont val="微软雅黑"/>
        <charset val="134"/>
      </rPr>
      <t>2025Q2</t>
    </r>
  </si>
  <si>
    <r>
      <rPr>
        <sz val="10"/>
        <rFont val="微软雅黑"/>
        <charset val="134"/>
      </rPr>
      <t>2025Q3</t>
    </r>
  </si>
  <si>
    <r>
      <rPr>
        <sz val="10"/>
        <rFont val="微软雅黑"/>
        <charset val="134"/>
      </rPr>
      <t>2025Q4</t>
    </r>
  </si>
  <si>
    <r>
      <rPr>
        <sz val="10"/>
        <rFont val="微软雅黑"/>
        <charset val="134"/>
      </rPr>
      <t>2026Q1</t>
    </r>
  </si>
  <si>
    <r>
      <rPr>
        <sz val="10"/>
        <rFont val="微软雅黑"/>
        <charset val="134"/>
      </rPr>
      <t>2026Q2</t>
    </r>
  </si>
  <si>
    <r>
      <rPr>
        <sz val="9"/>
        <color rgb="FF808080"/>
        <rFont val="微软雅黑"/>
        <charset val="134"/>
      </rPr>
      <t>注：配置比例=样本主动权益基金持有该行业股票市值 / 样本基金股票持仓总市值。热力图颜色由浅到深代表配置比例由低到高。</t>
    </r>
  </si>
  <si>
    <r>
      <rPr>
        <b/>
        <sz val="14"/>
        <color rgb="FF1F3864"/>
        <rFont val="微软雅黑"/>
        <charset val="134"/>
      </rPr>
      <t>模块B｜主动权益基金行业集中度 CR3/CR5/CR10 与 HHI（2018Q1-2026Q2）</t>
    </r>
  </si>
  <si>
    <r>
      <rPr>
        <sz val="9"/>
        <color rgb="FF808080"/>
        <rFont val="微软雅黑"/>
        <charset val="134"/>
      </rPr>
      <t>数据来源：自建计算（样本基金申万一级配置比例）→ 查询日期：2026-09-29｜CR单位为%，HHI为0-1</t>
    </r>
  </si>
  <si>
    <r>
      <rPr>
        <b/>
        <sz val="10"/>
        <color rgb="FFFFFFFF"/>
        <rFont val="微软雅黑"/>
        <charset val="134"/>
      </rPr>
      <t>CR3</t>
    </r>
  </si>
  <si>
    <r>
      <rPr>
        <b/>
        <sz val="10"/>
        <color rgb="FFFFFFFF"/>
        <rFont val="微软雅黑"/>
        <charset val="134"/>
      </rPr>
      <t>CR5</t>
    </r>
  </si>
  <si>
    <r>
      <rPr>
        <b/>
        <sz val="10"/>
        <color rgb="FFFFFFFF"/>
        <rFont val="微软雅黑"/>
        <charset val="134"/>
      </rPr>
      <t>CR10</t>
    </r>
  </si>
  <si>
    <r>
      <rPr>
        <b/>
        <sz val="10"/>
        <color rgb="FFFFFFFF"/>
        <rFont val="微软雅黑"/>
        <charset val="134"/>
      </rPr>
      <t>HHI</t>
    </r>
  </si>
  <si>
    <r>
      <rPr>
        <b/>
        <sz val="10"/>
        <color rgb="FFFFFFFF"/>
        <rFont val="微软雅黑"/>
        <charset val="134"/>
      </rPr>
      <t>HHI标准化</t>
    </r>
  </si>
  <si>
    <r>
      <rPr>
        <b/>
        <sz val="10"/>
        <color rgb="FFFFFFFF"/>
        <rFont val="微软雅黑"/>
        <charset val="134"/>
      </rPr>
      <t>Top1行业</t>
    </r>
  </si>
  <si>
    <r>
      <rPr>
        <b/>
        <sz val="10"/>
        <color rgb="FFFFFFFF"/>
        <rFont val="微软雅黑"/>
        <charset val="134"/>
      </rPr>
      <t>Top1比例%</t>
    </r>
  </si>
  <si>
    <r>
      <rPr>
        <b/>
        <sz val="10"/>
        <color rgb="FFFFFFFF"/>
        <rFont val="微软雅黑"/>
        <charset val="134"/>
      </rPr>
      <t>Top2行业</t>
    </r>
  </si>
  <si>
    <r>
      <rPr>
        <b/>
        <sz val="10"/>
        <color rgb="FFFFFFFF"/>
        <rFont val="微软雅黑"/>
        <charset val="134"/>
      </rPr>
      <t>Top3行业</t>
    </r>
  </si>
  <si>
    <r>
      <rPr>
        <sz val="10"/>
        <rFont val="微软雅黑"/>
        <charset val="134"/>
      </rPr>
      <t>医药生物</t>
    </r>
  </si>
  <si>
    <r>
      <rPr>
        <sz val="10"/>
        <rFont val="微软雅黑"/>
        <charset val="134"/>
      </rPr>
      <t>食品饮料</t>
    </r>
  </si>
  <si>
    <r>
      <rPr>
        <sz val="10"/>
        <rFont val="微软雅黑"/>
        <charset val="134"/>
      </rPr>
      <t>家用电器</t>
    </r>
  </si>
  <si>
    <r>
      <rPr>
        <sz val="10"/>
        <rFont val="微软雅黑"/>
        <charset val="134"/>
      </rPr>
      <t>电力设备</t>
    </r>
  </si>
  <si>
    <r>
      <rPr>
        <sz val="10"/>
        <rFont val="微软雅黑"/>
        <charset val="134"/>
      </rPr>
      <t>计算机</t>
    </r>
  </si>
  <si>
    <r>
      <rPr>
        <sz val="10"/>
        <rFont val="微软雅黑"/>
        <charset val="134"/>
      </rPr>
      <t>电子</t>
    </r>
  </si>
  <si>
    <r>
      <rPr>
        <sz val="10"/>
        <rFont val="微软雅黑"/>
        <charset val="134"/>
      </rPr>
      <t>通信</t>
    </r>
  </si>
  <si>
    <r>
      <rPr>
        <sz val="9"/>
        <color rgb="FF808080"/>
        <rFont val="微软雅黑"/>
        <charset val="134"/>
      </rPr>
      <t>注：HHI=Σ(各行业配置比例份额)²；HHI&lt;0.05低集中，0.05-0.10中，0.10-0.15高，&gt;0.15极高。</t>
    </r>
  </si>
  <si>
    <r>
      <rPr>
        <b/>
        <sz val="14"/>
        <color rgb="FF1F3864"/>
        <rFont val="微软雅黑"/>
        <charset val="134"/>
      </rPr>
      <t>模块B｜主动权益基金行业超配比例（配置比例 − 沪深300行业权重，2018Q1-2026Q2）</t>
    </r>
  </si>
  <si>
    <r>
      <rPr>
        <sz val="9"/>
        <color rgb="FF808080"/>
        <rFont val="微软雅黑"/>
        <charset val="134"/>
      </rPr>
      <t>数据来源：基金配置自建 + 中证指数沪深300成分股（csindex.com.cn，2026-09-28）→ 查询日期：2026-09-29｜单位：pct</t>
    </r>
  </si>
  <si>
    <r>
      <rPr>
        <sz val="9"/>
        <color rgb="FF808080"/>
        <rFont val="微软雅黑"/>
        <charset val="134"/>
      </rPr>
      <t>注：超配&gt;5%为显著超配；绿色=低配，红色=超配。基准为沪深300申万一级总市值权重（现行成分静态）。</t>
    </r>
  </si>
  <si>
    <r>
      <rPr>
        <b/>
        <sz val="14"/>
        <color rgb="FF1F3864"/>
        <rFont val="微软雅黑"/>
        <charset val="134"/>
      </rPr>
      <t>模块C｜主动权益基金个股拥挤度趋势（2018Q1-2026Q2）</t>
    </r>
  </si>
  <si>
    <r>
      <rPr>
        <sz val="9"/>
        <color rgb="FF808080"/>
        <rFont val="微软雅黑"/>
        <charset val="134"/>
      </rPr>
      <t>数据来源：自建计算（样本基金前十大重仓股持股基金数）→ 查询日期：2026-09-29</t>
    </r>
  </si>
  <si>
    <r>
      <rPr>
        <b/>
        <sz val="10"/>
        <color rgb="FFFFFFFF"/>
        <rFont val="微软雅黑"/>
        <charset val="134"/>
      </rPr>
      <t>Top20平均持股基金数</t>
    </r>
  </si>
  <si>
    <r>
      <rPr>
        <b/>
        <sz val="10"/>
        <color rgb="FFFFFFFF"/>
        <rFont val="微软雅黑"/>
        <charset val="134"/>
      </rPr>
      <t>Top20持仓市值占比%</t>
    </r>
  </si>
  <si>
    <r>
      <rPr>
        <b/>
        <sz val="10"/>
        <color rgb="FFFFFFFF"/>
        <rFont val="微软雅黑"/>
        <charset val="134"/>
      </rPr>
      <t>持股基金数≥100的个股数</t>
    </r>
  </si>
  <si>
    <r>
      <rPr>
        <b/>
        <sz val="10"/>
        <color rgb="FFFFFFFF"/>
        <rFont val="微软雅黑"/>
        <charset val="134"/>
      </rPr>
      <t>持股基金数≥50的个股数</t>
    </r>
  </si>
  <si>
    <r>
      <rPr>
        <b/>
        <sz val="10"/>
        <color rgb="FFFFFFFF"/>
        <rFont val="微软雅黑"/>
        <charset val="134"/>
      </rPr>
      <t>持股基金数≥20的个股数</t>
    </r>
  </si>
  <si>
    <r>
      <rPr>
        <b/>
        <sz val="10"/>
        <color rgb="FFFFFFFF"/>
        <rFont val="微软雅黑"/>
        <charset val="134"/>
      </rPr>
      <t>个股总数</t>
    </r>
  </si>
  <si>
    <t>期间</t>
  </si>
  <si>
    <t>Top1</t>
  </si>
  <si>
    <t>Top2</t>
  </si>
  <si>
    <t>Top3</t>
  </si>
  <si>
    <t>Top4</t>
  </si>
  <si>
    <t>Top5</t>
  </si>
  <si>
    <t>2018Q1</t>
  </si>
  <si>
    <t>中国平安</t>
  </si>
  <si>
    <t>贵州茅台</t>
  </si>
  <si>
    <t>格力电器</t>
  </si>
  <si>
    <t>伊利股份</t>
  </si>
  <si>
    <t>美的集团</t>
  </si>
  <si>
    <t>2018Q2</t>
  </si>
  <si>
    <t>分众传媒</t>
  </si>
  <si>
    <t>2018Q3</t>
  </si>
  <si>
    <t>长春高新</t>
  </si>
  <si>
    <t>招商银行</t>
  </si>
  <si>
    <t>2018Q4</t>
  </si>
  <si>
    <t>万科A</t>
  </si>
  <si>
    <t>保利发展</t>
  </si>
  <si>
    <t>2019Q1</t>
  </si>
  <si>
    <t>温氏股份</t>
  </si>
  <si>
    <t>立讯精密</t>
  </si>
  <si>
    <t>2019Q2</t>
  </si>
  <si>
    <t>五粮液</t>
  </si>
  <si>
    <t>2019Q3</t>
  </si>
  <si>
    <t>恒瑞医药</t>
  </si>
  <si>
    <t>2019Q4</t>
  </si>
  <si>
    <t>2020Q1</t>
  </si>
  <si>
    <t>2020Q2</t>
  </si>
  <si>
    <t>宁德时代</t>
  </si>
  <si>
    <t>隆基绿能</t>
  </si>
  <si>
    <t>2020Q3</t>
  </si>
  <si>
    <t>2020Q4</t>
  </si>
  <si>
    <t>2021Q1</t>
  </si>
  <si>
    <t>腾讯控股</t>
  </si>
  <si>
    <t>海康威视</t>
  </si>
  <si>
    <t>2021Q2</t>
  </si>
  <si>
    <t>2021Q3</t>
  </si>
  <si>
    <t>药明康德</t>
  </si>
  <si>
    <t>2021Q4</t>
  </si>
  <si>
    <t>东方财富</t>
  </si>
  <si>
    <t>2022Q1</t>
  </si>
  <si>
    <t>紫光国微</t>
  </si>
  <si>
    <t>2022Q2</t>
  </si>
  <si>
    <t>比亚迪</t>
  </si>
  <si>
    <t>2022Q3</t>
  </si>
  <si>
    <t>泸州老窖</t>
  </si>
  <si>
    <t>2022Q4</t>
  </si>
  <si>
    <t>2023Q1</t>
  </si>
  <si>
    <t>金山办公</t>
  </si>
  <si>
    <t>2023Q2</t>
  </si>
  <si>
    <t>中兴通讯</t>
  </si>
  <si>
    <t>2023Q3</t>
  </si>
  <si>
    <t>2023Q4</t>
  </si>
  <si>
    <t>紫金矿业</t>
  </si>
  <si>
    <t>2024Q1</t>
  </si>
  <si>
    <t>中际旭创</t>
  </si>
  <si>
    <t>2024Q2</t>
  </si>
  <si>
    <t>2024Q3</t>
  </si>
  <si>
    <t>新易盛</t>
  </si>
  <si>
    <t>2024Q4</t>
  </si>
  <si>
    <t>沪电股份</t>
  </si>
  <si>
    <t>2025Q1</t>
  </si>
  <si>
    <t>阿里巴巴-W</t>
  </si>
  <si>
    <t>2025Q2</t>
  </si>
  <si>
    <t>2025Q3</t>
  </si>
  <si>
    <t>工业富联</t>
  </si>
  <si>
    <t>2025Q4</t>
  </si>
  <si>
    <t>2026Q1</t>
  </si>
  <si>
    <t>东山精密</t>
  </si>
  <si>
    <t>2026Q2</t>
  </si>
  <si>
    <t>寒武纪</t>
  </si>
  <si>
    <r>
      <rPr>
        <b/>
        <sz val="14"/>
        <color rgb="FF1F3864"/>
        <rFont val="微软雅黑"/>
        <charset val="134"/>
      </rPr>
      <t>模块C｜最新季度（2026Q2）持股基金数Top20抱团股</t>
    </r>
  </si>
  <si>
    <r>
      <rPr>
        <sz val="9"/>
        <color rgb="FF808080"/>
        <rFont val="微软雅黑"/>
        <charset val="134"/>
      </rPr>
      <t>数据来源：自建计算 → 查询日期：2026-09-29</t>
    </r>
  </si>
  <si>
    <r>
      <rPr>
        <b/>
        <sz val="10"/>
        <color rgb="FFFFFFFF"/>
        <rFont val="微软雅黑"/>
        <charset val="134"/>
      </rPr>
      <t>股票代码</t>
    </r>
  </si>
  <si>
    <r>
      <rPr>
        <b/>
        <sz val="10"/>
        <color rgb="FFFFFFFF"/>
        <rFont val="微软雅黑"/>
        <charset val="134"/>
      </rPr>
      <t>股票名称</t>
    </r>
  </si>
  <si>
    <r>
      <rPr>
        <b/>
        <sz val="10"/>
        <color rgb="FFFFFFFF"/>
        <rFont val="微软雅黑"/>
        <charset val="134"/>
      </rPr>
      <t>申万一级</t>
    </r>
  </si>
  <si>
    <r>
      <rPr>
        <b/>
        <sz val="10"/>
        <color rgb="FFFFFFFF"/>
        <rFont val="微软雅黑"/>
        <charset val="134"/>
      </rPr>
      <t>持股基金数</t>
    </r>
  </si>
  <si>
    <r>
      <rPr>
        <b/>
        <sz val="10"/>
        <color rgb="FFFFFFFF"/>
        <rFont val="微软雅黑"/>
        <charset val="134"/>
      </rPr>
      <t>持仓市值</t>
    </r>
  </si>
  <si>
    <r>
      <rPr>
        <b/>
        <sz val="10"/>
        <color rgb="FFFFFFFF"/>
        <rFont val="微软雅黑"/>
        <charset val="134"/>
      </rPr>
      <t>持仓市值_亿元</t>
    </r>
  </si>
  <si>
    <r>
      <rPr>
        <sz val="10"/>
        <rFont val="微软雅黑"/>
        <charset val="134"/>
      </rPr>
      <t>中际旭创</t>
    </r>
  </si>
  <si>
    <r>
      <rPr>
        <sz val="10"/>
        <rFont val="微软雅黑"/>
        <charset val="134"/>
      </rPr>
      <t>宁德时代</t>
    </r>
  </si>
  <si>
    <r>
      <rPr>
        <sz val="10"/>
        <rFont val="微软雅黑"/>
        <charset val="134"/>
      </rPr>
      <t>新易盛</t>
    </r>
  </si>
  <si>
    <r>
      <rPr>
        <sz val="10"/>
        <rFont val="微软雅黑"/>
        <charset val="134"/>
      </rPr>
      <t>药明康德</t>
    </r>
  </si>
  <si>
    <r>
      <rPr>
        <sz val="10"/>
        <rFont val="微软雅黑"/>
        <charset val="134"/>
      </rPr>
      <t>兆易创新</t>
    </r>
  </si>
  <si>
    <r>
      <rPr>
        <sz val="10"/>
        <rFont val="微软雅黑"/>
        <charset val="134"/>
      </rPr>
      <t>寒武纪</t>
    </r>
  </si>
  <si>
    <t>‘002384.00</t>
  </si>
  <si>
    <r>
      <rPr>
        <sz val="10"/>
        <rFont val="微软雅黑"/>
        <charset val="134"/>
      </rPr>
      <t>东山精密</t>
    </r>
  </si>
  <si>
    <r>
      <rPr>
        <sz val="10"/>
        <rFont val="微软雅黑"/>
        <charset val="134"/>
      </rPr>
      <t>中微公司</t>
    </r>
  </si>
  <si>
    <r>
      <rPr>
        <sz val="10"/>
        <rFont val="微软雅黑"/>
        <charset val="134"/>
      </rPr>
      <t>贵州茅台</t>
    </r>
  </si>
  <si>
    <t>’002371.00</t>
  </si>
  <si>
    <r>
      <rPr>
        <sz val="10"/>
        <rFont val="微软雅黑"/>
        <charset val="134"/>
      </rPr>
      <t>北方华创</t>
    </r>
  </si>
  <si>
    <r>
      <rPr>
        <sz val="10"/>
        <rFont val="微软雅黑"/>
        <charset val="134"/>
      </rPr>
      <t>源杰科技</t>
    </r>
  </si>
  <si>
    <r>
      <rPr>
        <sz val="10"/>
        <rFont val="微软雅黑"/>
        <charset val="134"/>
      </rPr>
      <t>长川科技</t>
    </r>
  </si>
  <si>
    <r>
      <rPr>
        <sz val="10"/>
        <rFont val="微软雅黑"/>
        <charset val="134"/>
      </rPr>
      <t>海光信息</t>
    </r>
  </si>
  <si>
    <t>‘000333.00</t>
  </si>
  <si>
    <r>
      <rPr>
        <sz val="10"/>
        <rFont val="微软雅黑"/>
        <charset val="134"/>
      </rPr>
      <t>美的集团</t>
    </r>
  </si>
  <si>
    <t>’002475.00</t>
  </si>
  <si>
    <r>
      <rPr>
        <sz val="10"/>
        <rFont val="微软雅黑"/>
        <charset val="134"/>
      </rPr>
      <t>立讯精密</t>
    </r>
  </si>
  <si>
    <r>
      <rPr>
        <sz val="10"/>
        <rFont val="微软雅黑"/>
        <charset val="134"/>
      </rPr>
      <t>恒瑞医药</t>
    </r>
  </si>
  <si>
    <r>
      <rPr>
        <sz val="10"/>
        <rFont val="微软雅黑"/>
        <charset val="134"/>
      </rPr>
      <t>拓荆科技</t>
    </r>
  </si>
  <si>
    <r>
      <rPr>
        <sz val="10"/>
        <rFont val="微软雅黑"/>
        <charset val="134"/>
      </rPr>
      <t>三环集团</t>
    </r>
  </si>
  <si>
    <r>
      <rPr>
        <sz val="10"/>
        <rFont val="微软雅黑"/>
        <charset val="134"/>
      </rPr>
      <t>紫金矿业</t>
    </r>
  </si>
  <si>
    <r>
      <rPr>
        <sz val="10"/>
        <rFont val="微软雅黑"/>
        <charset val="134"/>
      </rPr>
      <t>有色金属</t>
    </r>
  </si>
  <si>
    <r>
      <rPr>
        <sz val="10"/>
        <rFont val="微软雅黑"/>
        <charset val="134"/>
      </rPr>
      <t>中芯国际</t>
    </r>
  </si>
  <si>
    <r>
      <rPr>
        <b/>
        <sz val="14"/>
        <color rgb="FF1F3864"/>
        <rFont val="微软雅黑"/>
        <charset val="134"/>
      </rPr>
      <t>模块D｜主动权益基金前十大重仓集中度与仓位代理指标（2018Q1-2026Q2）</t>
    </r>
  </si>
  <si>
    <r>
      <rPr>
        <sz val="9"/>
        <color rgb="FF808080"/>
        <rFont val="微软雅黑"/>
        <charset val="134"/>
      </rPr>
      <t>数据来源：自建计算 + 新浪 stock_zh_index_daily（沪深300）→ 查询日期：2026-09-29</t>
    </r>
  </si>
  <si>
    <r>
      <rPr>
        <b/>
        <sz val="10"/>
        <color rgb="FFFFFFFF"/>
        <rFont val="微软雅黑"/>
        <charset val="134"/>
      </rPr>
      <t>季度标准</t>
    </r>
  </si>
  <si>
    <r>
      <rPr>
        <b/>
        <sz val="10"/>
        <color rgb="FFFFFFFF"/>
        <rFont val="微软雅黑"/>
        <charset val="134"/>
      </rPr>
      <t>样本基金数</t>
    </r>
  </si>
  <si>
    <r>
      <rPr>
        <b/>
        <sz val="10"/>
        <color rgb="FFFFFFFF"/>
        <rFont val="微软雅黑"/>
        <charset val="134"/>
      </rPr>
      <t>前十占净值比均值</t>
    </r>
  </si>
  <si>
    <r>
      <rPr>
        <b/>
        <sz val="10"/>
        <color rgb="FFFFFFFF"/>
        <rFont val="微软雅黑"/>
        <charset val="134"/>
      </rPr>
      <t>前十占净值比中位数</t>
    </r>
  </si>
  <si>
    <r>
      <rPr>
        <b/>
        <sz val="10"/>
        <color rgb="FFFFFFFF"/>
        <rFont val="微软雅黑"/>
        <charset val="134"/>
      </rPr>
      <t>重仓股数均值</t>
    </r>
  </si>
  <si>
    <r>
      <rPr>
        <b/>
        <sz val="10"/>
        <color rgb="FFFFFFFF"/>
        <rFont val="微软雅黑"/>
        <charset val="134"/>
      </rPr>
      <t>隐含股票仓位估算均值</t>
    </r>
  </si>
  <si>
    <r>
      <rPr>
        <b/>
        <sz val="10"/>
        <color rgb="FFFFFFFF"/>
        <rFont val="微软雅黑"/>
        <charset val="134"/>
      </rPr>
      <t>沪深300季末点位</t>
    </r>
  </si>
  <si>
    <r>
      <rPr>
        <sz val="9"/>
        <color rgb="FF808080"/>
        <rFont val="微软雅黑"/>
        <charset val="134"/>
      </rPr>
      <t>注：前十大重仓占净值比=样本基金前十大重仓股占净值比例之和的均值，为集中度代理指标；因季报仅披露前十大重仓股，无法直接得全部持仓的股票仓位，故不列示'真实股票仓位'，避免口径混用。</t>
    </r>
  </si>
  <si>
    <r>
      <rPr>
        <b/>
        <sz val="14"/>
        <color rgb="FF1F3864"/>
        <rFont val="微软雅黑"/>
        <charset val="134"/>
      </rPr>
      <t>模块E｜被动（指数/ETF）与主动权益规模结构分化（2018-2026Q2）</t>
    </r>
  </si>
  <si>
    <r>
      <rPr>
        <sz val="9"/>
        <color rgb="FF808080"/>
        <rFont val="微软雅黑"/>
        <charset val="134"/>
      </rPr>
      <t>数据来源：天天基金 fund_name_em 基金类型分类 + 基金业协会全市场口径 → 查询日期：2026-09-29</t>
    </r>
  </si>
  <si>
    <r>
      <rPr>
        <b/>
        <sz val="10"/>
        <color rgb="FFFFFFFF"/>
        <rFont val="微软雅黑"/>
        <charset val="134"/>
      </rPr>
      <t>大类</t>
    </r>
  </si>
  <si>
    <r>
      <rPr>
        <b/>
        <sz val="10"/>
        <color rgb="FFFFFFFF"/>
        <rFont val="微软雅黑"/>
        <charset val="134"/>
      </rPr>
      <t>产品只数</t>
    </r>
  </si>
  <si>
    <r>
      <rPr>
        <b/>
        <sz val="10"/>
        <color rgb="FFFFFFFF"/>
        <rFont val="微软雅黑"/>
        <charset val="134"/>
      </rPr>
      <t>产品只数占比%</t>
    </r>
  </si>
  <si>
    <r>
      <rPr>
        <sz val="10"/>
        <rFont val="微软雅黑"/>
        <charset val="134"/>
      </rPr>
      <t>主动混合型</t>
    </r>
  </si>
  <si>
    <r>
      <rPr>
        <sz val="10"/>
        <rFont val="微软雅黑"/>
        <charset val="134"/>
      </rPr>
      <t>债券型</t>
    </r>
  </si>
  <si>
    <r>
      <rPr>
        <sz val="10"/>
        <rFont val="微软雅黑"/>
        <charset val="134"/>
      </rPr>
      <t>被动指数型</t>
    </r>
  </si>
  <si>
    <r>
      <rPr>
        <sz val="10"/>
        <rFont val="微软雅黑"/>
        <charset val="134"/>
      </rPr>
      <t>其他</t>
    </r>
  </si>
  <si>
    <r>
      <rPr>
        <sz val="10"/>
        <rFont val="微软雅黑"/>
        <charset val="134"/>
      </rPr>
      <t>FOF</t>
    </r>
  </si>
  <si>
    <r>
      <rPr>
        <sz val="10"/>
        <rFont val="微软雅黑"/>
        <charset val="134"/>
      </rPr>
      <t>主动股票型</t>
    </r>
  </si>
  <si>
    <r>
      <rPr>
        <sz val="10"/>
        <rFont val="微软雅黑"/>
        <charset val="134"/>
      </rPr>
      <t>货币型</t>
    </r>
  </si>
  <si>
    <r>
      <rPr>
        <sz val="10"/>
        <rFont val="微软雅黑"/>
        <charset val="134"/>
      </rPr>
      <t>QDII</t>
    </r>
  </si>
  <si>
    <r>
      <rPr>
        <sz val="10"/>
        <rFont val="微软雅黑"/>
        <charset val="134"/>
      </rPr>
      <t>REITs</t>
    </r>
  </si>
  <si>
    <r>
      <rPr>
        <sz val="9"/>
        <color rgb="FF808080"/>
        <rFont val="微软雅黑"/>
        <charset val="134"/>
      </rPr>
      <t>注：产品数量口径为现存全部份额级基金（含A/C/E等），非合并母基金口径；指数型含ETF及场外指数基金。</t>
    </r>
  </si>
  <si>
    <r>
      <rPr>
        <b/>
        <sz val="14"/>
        <color rgb="FF1F3864"/>
        <rFont val="微软雅黑"/>
        <charset val="134"/>
      </rPr>
      <t>模块F｜行业拥挤度阈值体系与预警（基于2018Q1-2026Q2超配比例分布）</t>
    </r>
  </si>
  <si>
    <r>
      <rPr>
        <sz val="9"/>
        <color rgb="FF808080"/>
        <rFont val="微软雅黑"/>
        <charset val="134"/>
      </rPr>
      <t>数据来源：自建计算 → 查询日期：2026-09-29｜分位数为超配比例历史分布</t>
    </r>
  </si>
  <si>
    <r>
      <rPr>
        <b/>
        <sz val="10"/>
        <color rgb="FFFFFFFF"/>
        <rFont val="微软雅黑"/>
        <charset val="134"/>
      </rPr>
      <t>行业</t>
    </r>
  </si>
  <si>
    <r>
      <rPr>
        <b/>
        <sz val="10"/>
        <color rgb="FFFFFFFF"/>
        <rFont val="微软雅黑"/>
        <charset val="134"/>
      </rPr>
      <t>最新超配%</t>
    </r>
  </si>
  <si>
    <r>
      <rPr>
        <b/>
        <sz val="10"/>
        <color rgb="FFFFFFFF"/>
        <rFont val="微软雅黑"/>
        <charset val="134"/>
      </rPr>
      <t>历史均值%</t>
    </r>
  </si>
  <si>
    <r>
      <rPr>
        <b/>
        <sz val="10"/>
        <color rgb="FFFFFFFF"/>
        <rFont val="微软雅黑"/>
        <charset val="134"/>
      </rPr>
      <t>标准差</t>
    </r>
  </si>
  <si>
    <r>
      <rPr>
        <b/>
        <sz val="10"/>
        <color rgb="FFFFFFFF"/>
        <rFont val="微软雅黑"/>
        <charset val="134"/>
      </rPr>
      <t>均值+1.5σ</t>
    </r>
  </si>
  <si>
    <r>
      <rPr>
        <b/>
        <sz val="10"/>
        <color rgb="FFFFFFFF"/>
        <rFont val="微软雅黑"/>
        <charset val="134"/>
      </rPr>
      <t>P50</t>
    </r>
  </si>
  <si>
    <r>
      <rPr>
        <b/>
        <sz val="10"/>
        <color rgb="FFFFFFFF"/>
        <rFont val="微软雅黑"/>
        <charset val="134"/>
      </rPr>
      <t>P75</t>
    </r>
  </si>
  <si>
    <r>
      <rPr>
        <b/>
        <sz val="10"/>
        <color rgb="FFFFFFFF"/>
        <rFont val="微软雅黑"/>
        <charset val="134"/>
      </rPr>
      <t>P90</t>
    </r>
  </si>
  <si>
    <r>
      <rPr>
        <b/>
        <sz val="10"/>
        <color rgb="FFFFFFFF"/>
        <rFont val="微软雅黑"/>
        <charset val="134"/>
      </rPr>
      <t>P95</t>
    </r>
  </si>
  <si>
    <r>
      <rPr>
        <b/>
        <sz val="10"/>
        <color rgb="FFFFFFFF"/>
        <rFont val="微软雅黑"/>
        <charset val="134"/>
      </rPr>
      <t>Z值</t>
    </r>
  </si>
  <si>
    <r>
      <rPr>
        <b/>
        <sz val="10"/>
        <color rgb="FFFFFFFF"/>
        <rFont val="微软雅黑"/>
        <charset val="134"/>
      </rPr>
      <t>历史分位%</t>
    </r>
  </si>
  <si>
    <r>
      <rPr>
        <b/>
        <sz val="10"/>
        <color rgb="FFFFFFFF"/>
        <rFont val="微软雅黑"/>
        <charset val="134"/>
      </rPr>
      <t>拥挤等级</t>
    </r>
  </si>
  <si>
    <r>
      <rPr>
        <sz val="10"/>
        <rFont val="微软雅黑"/>
        <charset val="134"/>
      </rPr>
      <t>极度拥挤</t>
    </r>
  </si>
  <si>
    <r>
      <rPr>
        <sz val="10"/>
        <rFont val="微软雅黑"/>
        <charset val="134"/>
      </rPr>
      <t>低配</t>
    </r>
  </si>
  <si>
    <r>
      <rPr>
        <sz val="10"/>
        <rFont val="微软雅黑"/>
        <charset val="134"/>
      </rPr>
      <t>中性</t>
    </r>
  </si>
  <si>
    <r>
      <rPr>
        <sz val="10"/>
        <rFont val="微软雅黑"/>
        <charset val="134"/>
      </rPr>
      <t>机械设备</t>
    </r>
  </si>
  <si>
    <r>
      <rPr>
        <sz val="10"/>
        <rFont val="微软雅黑"/>
        <charset val="134"/>
      </rPr>
      <t>基础化工</t>
    </r>
  </si>
  <si>
    <r>
      <rPr>
        <sz val="10"/>
        <rFont val="微软雅黑"/>
        <charset val="134"/>
      </rPr>
      <t>偏拥挤</t>
    </r>
  </si>
  <si>
    <r>
      <rPr>
        <sz val="10"/>
        <rFont val="微软雅黑"/>
        <charset val="134"/>
      </rPr>
      <t>建筑材料</t>
    </r>
  </si>
  <si>
    <r>
      <rPr>
        <sz val="10"/>
        <rFont val="微软雅黑"/>
        <charset val="134"/>
      </rPr>
      <t>纺织服饰</t>
    </r>
  </si>
  <si>
    <r>
      <rPr>
        <sz val="10"/>
        <rFont val="微软雅黑"/>
        <charset val="134"/>
      </rPr>
      <t>轻工制造</t>
    </r>
  </si>
  <si>
    <r>
      <rPr>
        <sz val="10"/>
        <rFont val="微软雅黑"/>
        <charset val="134"/>
      </rPr>
      <t>环保</t>
    </r>
  </si>
  <si>
    <r>
      <rPr>
        <sz val="10"/>
        <rFont val="微软雅黑"/>
        <charset val="134"/>
      </rPr>
      <t>社会服务</t>
    </r>
  </si>
  <si>
    <r>
      <rPr>
        <sz val="10"/>
        <rFont val="微软雅黑"/>
        <charset val="134"/>
      </rPr>
      <t>综合</t>
    </r>
  </si>
  <si>
    <r>
      <rPr>
        <sz val="10"/>
        <rFont val="微软雅黑"/>
        <charset val="134"/>
      </rPr>
      <t>美容护理</t>
    </r>
  </si>
  <si>
    <r>
      <rPr>
        <sz val="10"/>
        <rFont val="微软雅黑"/>
        <charset val="134"/>
      </rPr>
      <t>农林牧渔</t>
    </r>
  </si>
  <si>
    <r>
      <rPr>
        <sz val="10"/>
        <rFont val="微软雅黑"/>
        <charset val="134"/>
      </rPr>
      <t>房地产</t>
    </r>
  </si>
  <si>
    <r>
      <rPr>
        <sz val="10"/>
        <rFont val="微软雅黑"/>
        <charset val="134"/>
      </rPr>
      <t>商贸零售</t>
    </r>
  </si>
  <si>
    <r>
      <rPr>
        <sz val="10"/>
        <rFont val="微软雅黑"/>
        <charset val="134"/>
      </rPr>
      <t>钢铁</t>
    </r>
  </si>
  <si>
    <r>
      <rPr>
        <sz val="10"/>
        <rFont val="微软雅黑"/>
        <charset val="134"/>
      </rPr>
      <t>传媒</t>
    </r>
  </si>
  <si>
    <r>
      <rPr>
        <sz val="10"/>
        <rFont val="微软雅黑"/>
        <charset val="134"/>
      </rPr>
      <t>汽车</t>
    </r>
  </si>
  <si>
    <r>
      <rPr>
        <sz val="10"/>
        <rFont val="微软雅黑"/>
        <charset val="134"/>
      </rPr>
      <t>煤炭</t>
    </r>
  </si>
  <si>
    <r>
      <rPr>
        <sz val="10"/>
        <rFont val="微软雅黑"/>
        <charset val="134"/>
      </rPr>
      <t>石油石化</t>
    </r>
  </si>
  <si>
    <r>
      <rPr>
        <sz val="10"/>
        <rFont val="微软雅黑"/>
        <charset val="134"/>
      </rPr>
      <t>国防军工</t>
    </r>
  </si>
  <si>
    <r>
      <rPr>
        <sz val="10"/>
        <rFont val="微软雅黑"/>
        <charset val="134"/>
      </rPr>
      <t>建筑装饰</t>
    </r>
  </si>
  <si>
    <r>
      <rPr>
        <sz val="10"/>
        <rFont val="微软雅黑"/>
        <charset val="134"/>
      </rPr>
      <t>交通运输</t>
    </r>
  </si>
  <si>
    <r>
      <rPr>
        <sz val="10"/>
        <rFont val="微软雅黑"/>
        <charset val="134"/>
      </rPr>
      <t>公用事业</t>
    </r>
  </si>
  <si>
    <r>
      <rPr>
        <sz val="10"/>
        <rFont val="微软雅黑"/>
        <charset val="134"/>
      </rPr>
      <t>非银金融</t>
    </r>
  </si>
  <si>
    <r>
      <rPr>
        <sz val="10"/>
        <rFont val="微软雅黑"/>
        <charset val="134"/>
      </rPr>
      <t>银行</t>
    </r>
  </si>
  <si>
    <r>
      <rPr>
        <b/>
        <sz val="10"/>
        <rFont val="微软雅黑"/>
        <charset val="134"/>
      </rPr>
      <t>预警等级规则</t>
    </r>
  </si>
  <si>
    <r>
      <rPr>
        <b/>
        <sz val="10"/>
        <color rgb="FFFFFFFF"/>
        <rFont val="微软雅黑"/>
        <charset val="134"/>
      </rPr>
      <t>等级</t>
    </r>
  </si>
  <si>
    <r>
      <rPr>
        <b/>
        <sz val="10"/>
        <color rgb="FFFFFFFF"/>
        <rFont val="微软雅黑"/>
        <charset val="134"/>
      </rPr>
      <t>HHI区间</t>
    </r>
  </si>
  <si>
    <r>
      <rPr>
        <b/>
        <sz val="10"/>
        <color rgb="FFFFFFFF"/>
        <rFont val="微软雅黑"/>
        <charset val="134"/>
      </rPr>
      <t>超配判据</t>
    </r>
  </si>
  <si>
    <r>
      <rPr>
        <b/>
        <sz val="10"/>
        <color rgb="FFFFFFFF"/>
        <rFont val="微软雅黑"/>
        <charset val="134"/>
      </rPr>
      <t>含义</t>
    </r>
  </si>
  <si>
    <r>
      <rPr>
        <sz val="10"/>
        <rFont val="微软雅黑"/>
        <charset val="134"/>
      </rPr>
      <t>低</t>
    </r>
  </si>
  <si>
    <r>
      <rPr>
        <sz val="10"/>
        <rFont val="微软雅黑"/>
        <charset val="134"/>
      </rPr>
      <t>&lt;0.05</t>
    </r>
  </si>
  <si>
    <r>
      <rPr>
        <sz val="10"/>
        <rFont val="微软雅黑"/>
        <charset val="134"/>
      </rPr>
      <t>&lt;P50</t>
    </r>
  </si>
  <si>
    <r>
      <rPr>
        <sz val="10"/>
        <rFont val="微软雅黑"/>
        <charset val="134"/>
      </rPr>
      <t>配置分散，无拥挤</t>
    </r>
  </si>
  <si>
    <r>
      <rPr>
        <sz val="10"/>
        <rFont val="微软雅黑"/>
        <charset val="134"/>
      </rPr>
      <t>中</t>
    </r>
  </si>
  <si>
    <r>
      <rPr>
        <sz val="10"/>
        <rFont val="微软雅黑"/>
        <charset val="134"/>
      </rPr>
      <t>0.05-0.10</t>
    </r>
  </si>
  <si>
    <r>
      <rPr>
        <sz val="10"/>
        <rFont val="微软雅黑"/>
        <charset val="134"/>
      </rPr>
      <t>P50-P75</t>
    </r>
  </si>
  <si>
    <r>
      <rPr>
        <sz val="10"/>
        <rFont val="微软雅黑"/>
        <charset val="134"/>
      </rPr>
      <t>配置略集中</t>
    </r>
  </si>
  <si>
    <r>
      <rPr>
        <sz val="10"/>
        <rFont val="微软雅黑"/>
        <charset val="134"/>
      </rPr>
      <t>高</t>
    </r>
  </si>
  <si>
    <r>
      <rPr>
        <sz val="10"/>
        <rFont val="微软雅黑"/>
        <charset val="134"/>
      </rPr>
      <t>0.10-0.15</t>
    </r>
  </si>
  <si>
    <r>
      <rPr>
        <sz val="10"/>
        <rFont val="微软雅黑"/>
        <charset val="134"/>
      </rPr>
      <t>&gt;均值+1.5σ</t>
    </r>
  </si>
  <si>
    <r>
      <rPr>
        <sz val="10"/>
        <rFont val="微软雅黑"/>
        <charset val="134"/>
      </rPr>
      <t>拥挤，需关注</t>
    </r>
  </si>
  <si>
    <r>
      <rPr>
        <sz val="10"/>
        <rFont val="微软雅黑"/>
        <charset val="134"/>
      </rPr>
      <t>极度</t>
    </r>
  </si>
  <si>
    <r>
      <rPr>
        <sz val="10"/>
        <rFont val="微软雅黑"/>
        <charset val="134"/>
      </rPr>
      <t>&gt;0.15</t>
    </r>
  </si>
  <si>
    <r>
      <rPr>
        <sz val="10"/>
        <rFont val="微软雅黑"/>
        <charset val="134"/>
      </rPr>
      <t>&gt;P90</t>
    </r>
  </si>
  <si>
    <r>
      <rPr>
        <sz val="10"/>
        <rFont val="微软雅黑"/>
        <charset val="134"/>
      </rPr>
      <t>极度拥挤，再定价风险高</t>
    </r>
  </si>
  <si>
    <r>
      <rPr>
        <sz val="9"/>
        <color rgb="FF808080"/>
        <rFont val="微软雅黑"/>
        <charset val="134"/>
      </rPr>
      <t>注：多信号共振预警=行业超配&gt;P90 + ETF加速流入 + 龙头股过度集中（三者同时满足时风险最高）。</t>
    </r>
  </si>
  <si>
    <r>
      <rPr>
        <b/>
        <sz val="14"/>
        <color rgb="FF1F3864"/>
        <rFont val="微软雅黑"/>
        <charset val="134"/>
      </rPr>
      <t>模块G｜主流券商观点清单与复核</t>
    </r>
  </si>
  <si>
    <r>
      <rPr>
        <sz val="9"/>
        <color rgb="FF808080"/>
        <rFont val="微软雅黑"/>
        <charset val="134"/>
      </rPr>
      <t>数据来源：公开研报/媒体转载（详见来源列）→ 检索日期：2026-09-29</t>
    </r>
  </si>
  <si>
    <r>
      <rPr>
        <b/>
        <sz val="10"/>
        <color rgb="FFFFFFFF"/>
        <rFont val="微软雅黑"/>
        <charset val="134"/>
      </rPr>
      <t>序号</t>
    </r>
  </si>
  <si>
    <r>
      <rPr>
        <b/>
        <sz val="10"/>
        <color rgb="FFFFFFFF"/>
        <rFont val="微软雅黑"/>
        <charset val="134"/>
      </rPr>
      <t>机构</t>
    </r>
  </si>
  <si>
    <r>
      <rPr>
        <b/>
        <sz val="10"/>
        <color rgb="FFFFFFFF"/>
        <rFont val="微软雅黑"/>
        <charset val="134"/>
      </rPr>
      <t>分析师</t>
    </r>
  </si>
  <si>
    <r>
      <rPr>
        <b/>
        <sz val="10"/>
        <color rgb="FFFFFFFF"/>
        <rFont val="微软雅黑"/>
        <charset val="134"/>
      </rPr>
      <t>主题</t>
    </r>
  </si>
  <si>
    <r>
      <rPr>
        <b/>
        <sz val="10"/>
        <color rgb="FFFFFFFF"/>
        <rFont val="微软雅黑"/>
        <charset val="134"/>
      </rPr>
      <t>核心观点</t>
    </r>
  </si>
  <si>
    <r>
      <rPr>
        <b/>
        <sz val="10"/>
        <color rgb="FFFFFFFF"/>
        <rFont val="微软雅黑"/>
        <charset val="134"/>
      </rPr>
      <t>涉及指标</t>
    </r>
  </si>
  <si>
    <r>
      <rPr>
        <b/>
        <sz val="10"/>
        <color rgb="FFFFFFFF"/>
        <rFont val="微软雅黑"/>
        <charset val="134"/>
      </rPr>
      <t>发布时间</t>
    </r>
  </si>
  <si>
    <r>
      <rPr>
        <b/>
        <sz val="10"/>
        <color rgb="FFFFFFFF"/>
        <rFont val="微软雅黑"/>
        <charset val="134"/>
      </rPr>
      <t>来源</t>
    </r>
  </si>
  <si>
    <r>
      <rPr>
        <sz val="10"/>
        <rFont val="微软雅黑"/>
        <charset val="134"/>
      </rPr>
      <t>广发证券</t>
    </r>
  </si>
  <si>
    <r>
      <rPr>
        <sz val="10"/>
        <rFont val="微软雅黑"/>
        <charset val="134"/>
      </rPr>
      <t>刘晨明（策略首席）</t>
    </r>
  </si>
  <si>
    <r>
      <rPr>
        <sz val="10"/>
        <rFont val="微软雅黑"/>
        <charset val="134"/>
      </rPr>
      <t>科技超配口径</t>
    </r>
  </si>
  <si>
    <r>
      <rPr>
        <sz val="10"/>
        <rFont val="微软雅黑"/>
        <charset val="134"/>
      </rPr>
      <t>考虑到A股科技行业市值结构的变化，绝对配置比例已无太多参考意义；新兴产业更大的市场容量、更高的市值权重自然带来机构配置水涨船高，是经济结构转型的必然映射。</t>
    </r>
  </si>
  <si>
    <r>
      <rPr>
        <sz val="10"/>
        <rFont val="微软雅黑"/>
        <charset val="134"/>
      </rPr>
      <t>行业配置比例、市值结构</t>
    </r>
  </si>
  <si>
    <r>
      <rPr>
        <sz val="10"/>
        <rFont val="微软雅黑"/>
        <charset val="134"/>
      </rPr>
      <t>2026-08</t>
    </r>
  </si>
  <si>
    <r>
      <rPr>
        <sz val="10"/>
        <rFont val="微软雅黑"/>
        <charset val="134"/>
      </rPr>
      <t>腾讯网财经转载，https://gu.qq.com/resources/shy/news/detail-v2/index.html?id=SN20260819201138a4b5466e</t>
    </r>
  </si>
  <si>
    <r>
      <rPr>
        <sz val="10"/>
        <rFont val="微软雅黑"/>
        <charset val="134"/>
      </rPr>
      <t>东方财富证券</t>
    </r>
  </si>
  <si>
    <r>
      <rPr>
        <sz val="10"/>
        <rFont val="微软雅黑"/>
        <charset val="134"/>
      </rPr>
      <t>陈果（研究所副所长/首席策略）</t>
    </r>
  </si>
  <si>
    <r>
      <rPr>
        <sz val="10"/>
        <rFont val="微软雅黑"/>
        <charset val="134"/>
      </rPr>
      <t>电子通信集中度历史极值</t>
    </r>
  </si>
  <si>
    <r>
      <rPr>
        <sz val="10"/>
        <rFont val="微软雅黑"/>
        <charset val="134"/>
      </rPr>
      <t>2026Q2电子持仓单行业达43.3%，电子+通信合计60.2%，TMT达61.6%，前五大行业合计79.2%，均为2010年以来最高；电子与通信持仓历史分位均达100%极值。行业超配比例攀升至历史高位后，未来半年至三年超额收益均值大概率回落或跑输，风格再平衡临近。</t>
    </r>
  </si>
  <si>
    <r>
      <rPr>
        <sz val="10"/>
        <rFont val="微软雅黑"/>
        <charset val="134"/>
      </rPr>
      <t>CR5、行业历史分位、超配比例</t>
    </r>
  </si>
  <si>
    <r>
      <rPr>
        <sz val="10"/>
        <rFont val="微软雅黑"/>
        <charset val="134"/>
      </rPr>
      <t>2026-07-24</t>
    </r>
  </si>
  <si>
    <r>
      <rPr>
        <sz val="10"/>
        <rFont val="微软雅黑"/>
        <charset val="134"/>
      </rPr>
      <t>上海证券报·中国证券网，https://www.cnstock.com/commonDetail/750343</t>
    </r>
  </si>
  <si>
    <r>
      <rPr>
        <sz val="10"/>
        <rFont val="微软雅黑"/>
        <charset val="134"/>
      </rPr>
      <t>开源证券</t>
    </r>
  </si>
  <si>
    <r>
      <rPr>
        <sz val="10"/>
        <rFont val="微软雅黑"/>
        <charset val="134"/>
      </rPr>
      <t>策略团队</t>
    </r>
  </si>
  <si>
    <r>
      <rPr>
        <sz val="10"/>
        <rFont val="微软雅黑"/>
        <charset val="134"/>
      </rPr>
      <t>K型化持仓与双重集中</t>
    </r>
  </si>
  <si>
    <r>
      <rPr>
        <sz val="10"/>
        <rFont val="微软雅黑"/>
        <charset val="134"/>
      </rPr>
      <t>2026Q2持仓进一步向少数高景气行业集中，超一半一级行业持仓比例低于自身历史10%分位。非成长基金风格漂移数量占比由Q1的87.6%升至89.9%。截至7月24日A股成交额前5%个股成交占比49.8%，连续两个半月高于45%警戒线。拥挤不是独立见顶指标，其意义在于触发市场重新定价；本轮为高拥挤后的再定价而非牛市结束。</t>
    </r>
  </si>
  <si>
    <r>
      <rPr>
        <sz val="10"/>
        <rFont val="微软雅黑"/>
        <charset val="134"/>
      </rPr>
      <t>行业分位、持仓集中度、成交集中度</t>
    </r>
  </si>
  <si>
    <r>
      <rPr>
        <sz val="10"/>
        <rFont val="微软雅黑"/>
        <charset val="134"/>
      </rPr>
      <t>2026-07-26</t>
    </r>
  </si>
  <si>
    <r>
      <rPr>
        <sz val="10"/>
        <rFont val="微软雅黑"/>
        <charset val="134"/>
      </rPr>
      <t>新浪财经，https://finance.sina.com.cn/roll/2026-07-26/doc-inikcche8731213.shtml</t>
    </r>
  </si>
  <si>
    <r>
      <rPr>
        <sz val="10"/>
        <rFont val="微软雅黑"/>
        <charset val="134"/>
      </rPr>
      <t>中信建投证券</t>
    </r>
  </si>
  <si>
    <r>
      <rPr>
        <sz val="10"/>
        <rFont val="微软雅黑"/>
        <charset val="134"/>
      </rPr>
      <t>研究发展部</t>
    </r>
  </si>
  <si>
    <r>
      <rPr>
        <sz val="10"/>
        <rFont val="微软雅黑"/>
        <charset val="134"/>
      </rPr>
      <t>电子通信持仓创2015年以来新高</t>
    </r>
  </si>
  <si>
    <r>
      <rPr>
        <sz val="10"/>
        <rFont val="微软雅黑"/>
        <charset val="134"/>
      </rPr>
      <t>截至2026Q2末，主动偏股基金电子行业持仓占比升至约43%，通信约17%，两者合计近60%，均创2015年以来新高；科创板在重仓股中配置比例较上季末提升9.75pct至26.42%，同为历史峰值。</t>
    </r>
  </si>
  <si>
    <r>
      <rPr>
        <sz val="10"/>
        <rFont val="微软雅黑"/>
        <charset val="134"/>
      </rPr>
      <t>行业配置比例、板块配置比例</t>
    </r>
  </si>
  <si>
    <r>
      <rPr>
        <sz val="10"/>
        <rFont val="微软雅黑"/>
        <charset val="134"/>
      </rPr>
      <t>2026-08-01</t>
    </r>
  </si>
  <si>
    <r>
      <rPr>
        <sz val="10"/>
        <rFont val="微软雅黑"/>
        <charset val="134"/>
      </rPr>
      <t>腾讯网财经转载，https://gu.qq.com/resources/shy/news/detail-v2/index.html?id=SN2026080119110098ad25d6</t>
    </r>
  </si>
  <si>
    <r>
      <rPr>
        <sz val="10"/>
        <rFont val="微软雅黑"/>
        <charset val="134"/>
      </rPr>
      <t>华泰证券</t>
    </r>
  </si>
  <si>
    <r>
      <rPr>
        <sz val="10"/>
        <rFont val="微软雅黑"/>
        <charset val="134"/>
      </rPr>
      <t>高仓位不等于极端抱团</t>
    </r>
  </si>
  <si>
    <r>
      <rPr>
        <sz val="10"/>
        <rFont val="微软雅黑"/>
        <charset val="134"/>
      </rPr>
      <t>仓位高企并不意味着抱团已至极端水平。本轮AI行情由中美产业趋势共振驱动，覆盖面和资金容量更大，不能简单套用历史经验。但高仓位的真正指示意义在于，基金净值对电子、通信板块波动将更为敏感，一旦出现赎回或主动减仓，调整幅度可能较大。</t>
    </r>
  </si>
  <si>
    <r>
      <rPr>
        <sz val="10"/>
        <rFont val="微软雅黑"/>
        <charset val="134"/>
      </rPr>
      <t>仓位、行业集中度</t>
    </r>
  </si>
  <si>
    <r>
      <rPr>
        <sz val="10"/>
        <rFont val="微软雅黑"/>
        <charset val="134"/>
      </rPr>
      <t>兴业证券</t>
    </r>
  </si>
  <si>
    <r>
      <rPr>
        <sz val="10"/>
        <rFont val="微软雅黑"/>
        <charset val="134"/>
      </rPr>
      <t>张启尧（首席策略）团队</t>
    </r>
  </si>
  <si>
    <r>
      <rPr>
        <sz val="10"/>
        <rFont val="微软雅黑"/>
        <charset val="134"/>
      </rPr>
      <t>配置系数视角纠偏</t>
    </r>
  </si>
  <si>
    <r>
      <rPr>
        <sz val="10"/>
        <rFont val="微软雅黑"/>
        <charset val="134"/>
      </rPr>
      <t>二季报持仓比例看似夸张，但并非完全是基金经理主动增配的结果——股价上涨带来的市值膨胀、负债端'卖旧买新'的申赎行为都需纳入考量。若考虑电子板块市值占比提升，从配置系数（公募配置占比/自由流通市值在全A占比）角度看，公募对电子板块配置并未超过历史经验极值。</t>
    </r>
  </si>
  <si>
    <r>
      <rPr>
        <sz val="10"/>
        <rFont val="微软雅黑"/>
        <charset val="134"/>
      </rPr>
      <t>配置系数、超配比例</t>
    </r>
  </si>
  <si>
    <r>
      <rPr>
        <sz val="10"/>
        <rFont val="微软雅黑"/>
        <charset val="134"/>
      </rPr>
      <t>国信证券</t>
    </r>
  </si>
  <si>
    <r>
      <rPr>
        <sz val="10"/>
        <rFont val="微软雅黑"/>
        <charset val="134"/>
      </rPr>
      <t>AI与非AI筹码分布极致</t>
    </r>
  </si>
  <si>
    <r>
      <rPr>
        <sz val="10"/>
        <rFont val="微软雅黑"/>
        <charset val="134"/>
      </rPr>
      <t>从基金二季报看，AI和非AI的筹码分布已达极致水平，超20个一级行业持仓占比处历史20%以下低位，食品饮料、医药生物、房地产等13个一级行业处于历史最低值。</t>
    </r>
  </si>
  <si>
    <r>
      <rPr>
        <sz val="10"/>
        <rFont val="微软雅黑"/>
        <charset val="134"/>
      </rPr>
      <t>行业历史分位、低配行业数</t>
    </r>
  </si>
  <si>
    <r>
      <rPr>
        <sz val="10"/>
        <rFont val="微软雅黑"/>
        <charset val="134"/>
      </rPr>
      <t>国金证券</t>
    </r>
  </si>
  <si>
    <r>
      <rPr>
        <sz val="10"/>
        <rFont val="微软雅黑"/>
        <charset val="134"/>
      </rPr>
      <t>牟一凌（首席策略官）</t>
    </r>
  </si>
  <si>
    <r>
      <rPr>
        <sz val="10"/>
        <rFont val="微软雅黑"/>
        <charset val="134"/>
      </rPr>
      <t>AI硬件配置超配测算</t>
    </r>
  </si>
  <si>
    <r>
      <rPr>
        <sz val="10"/>
        <rFont val="微软雅黑"/>
        <charset val="134"/>
      </rPr>
      <t>截至2025Q1末，主动偏股型基金对AI硬件板块（光模块/PCB/半导体等）整体配置比例达31.5%，超配17.7个百分点，处历史高位。若与历史核心赛道比，已超过2021年初'宁组合'峰值，但未超过'茅指数'和2007年前后金融地产。基金抱团当下并未极端拥挤，但4月以来加速趋势需关注拥挤交易。</t>
    </r>
  </si>
  <si>
    <r>
      <rPr>
        <sz val="10"/>
        <rFont val="微软雅黑"/>
        <charset val="134"/>
      </rPr>
      <t>板块超配比例、历史赛道对比</t>
    </r>
  </si>
  <si>
    <r>
      <rPr>
        <sz val="10"/>
        <rFont val="微软雅黑"/>
        <charset val="134"/>
      </rPr>
      <t>2026-04</t>
    </r>
  </si>
  <si>
    <r>
      <rPr>
        <sz val="10"/>
        <rFont val="微软雅黑"/>
        <charset val="134"/>
      </rPr>
      <t>央广网转载上海证券报，https://www.cnr.cn/jrpd/jdt/20260427/t20260427_527601621.shtml</t>
    </r>
  </si>
  <si>
    <r>
      <rPr>
        <sz val="10"/>
        <rFont val="微软雅黑"/>
        <charset val="134"/>
      </rPr>
      <t>国联民生证券</t>
    </r>
  </si>
  <si>
    <r>
      <rPr>
        <sz val="10"/>
        <rFont val="微软雅黑"/>
        <charset val="134"/>
      </rPr>
      <t>通信板块持续增配</t>
    </r>
  </si>
  <si>
    <r>
      <rPr>
        <sz val="10"/>
        <rFont val="微软雅黑"/>
        <charset val="134"/>
      </rPr>
      <t>2026Q1公募大幅增配通信（+1.6pct）、工业（+1.4pct），减配信息技术（-2.2pct）、可选消费（-1.17pct）。2025Q1末公募持有通信仓位仅2.7%，此后三个季度增至5.3%、9.2%、11.1%，2026Q1末增至13.1%。</t>
    </r>
  </si>
  <si>
    <r>
      <rPr>
        <sz val="10"/>
        <rFont val="微软雅黑"/>
        <charset val="134"/>
      </rPr>
      <t>行业配置比例、环比变动</t>
    </r>
  </si>
  <si>
    <r>
      <rPr>
        <sz val="10"/>
        <rFont val="微软雅黑"/>
        <charset val="134"/>
      </rPr>
      <t>财通证券</t>
    </r>
  </si>
  <si>
    <r>
      <rPr>
        <sz val="10"/>
        <rFont val="微软雅黑"/>
        <charset val="134"/>
      </rPr>
      <t>缪铃凯（SAC:S0160525060003）</t>
    </r>
  </si>
  <si>
    <r>
      <rPr>
        <sz val="10"/>
        <rFont val="微软雅黑"/>
        <charset val="134"/>
      </rPr>
      <t>主动权益基金季报解析（2026Q1）</t>
    </r>
  </si>
  <si>
    <r>
      <rPr>
        <sz val="10"/>
        <rFont val="微软雅黑"/>
        <charset val="134"/>
      </rPr>
      <t>截至2026Q1全市场主动权益基金4776只，规模3.93万亿元。普通股票型权益仓位89.29%、偏股混合型86.39%、灵活配置型73.31%。个股集中度前三/前五/前十为22.09%/33.20%/54.07%；行业集中度第一/前三/前五为24.30%/41.87%/49.59%。投资风格趋于分散，行业集中度略有下降。</t>
    </r>
  </si>
  <si>
    <r>
      <rPr>
        <sz val="10"/>
        <rFont val="微软雅黑"/>
        <charset val="134"/>
      </rPr>
      <t>基金数量规模、仓位、个股与行业集中度</t>
    </r>
  </si>
  <si>
    <r>
      <rPr>
        <sz val="10"/>
        <rFont val="微软雅黑"/>
        <charset val="134"/>
      </rPr>
      <t>2026-04-23</t>
    </r>
  </si>
  <si>
    <r>
      <rPr>
        <sz val="10"/>
        <rFont val="微软雅黑"/>
        <charset val="134"/>
      </rPr>
      <t>发现报告，http://fxbaogao.com/detail/5374644</t>
    </r>
  </si>
  <si>
    <r>
      <rPr>
        <sz val="10"/>
        <rFont val="微软雅黑"/>
        <charset val="134"/>
      </rPr>
      <t>中信证券</t>
    </r>
  </si>
  <si>
    <r>
      <rPr>
        <sz val="10"/>
        <rFont val="微软雅黑"/>
        <charset val="134"/>
      </rPr>
      <t>研究部</t>
    </r>
  </si>
  <si>
    <r>
      <rPr>
        <sz val="10"/>
        <rFont val="微软雅黑"/>
        <charset val="134"/>
      </rPr>
      <t>2026下半年配置框架</t>
    </r>
  </si>
  <si>
    <r>
      <rPr>
        <sz val="10"/>
        <rFont val="微软雅黑"/>
        <charset val="134"/>
      </rPr>
      <t>以K型思维替代牛熊思维看市场，AI+能化构成新的杠铃结构。全球科技股估值偏高、持仓偏拥挤是当前最大的挑战，市场演绎将更依赖业绩端持续兑现和验证。</t>
    </r>
  </si>
  <si>
    <r>
      <rPr>
        <sz val="10"/>
        <rFont val="微软雅黑"/>
        <charset val="134"/>
      </rPr>
      <t>配置框架、拥挤度</t>
    </r>
  </si>
  <si>
    <r>
      <rPr>
        <sz val="10"/>
        <rFont val="微软雅黑"/>
        <charset val="134"/>
      </rPr>
      <t>2026-05-23</t>
    </r>
  </si>
  <si>
    <r>
      <rPr>
        <sz val="10"/>
        <rFont val="微软雅黑"/>
        <charset val="134"/>
      </rPr>
      <t>中信证券研究官网，https://research.citics.com/</t>
    </r>
  </si>
  <si>
    <r>
      <rPr>
        <sz val="10"/>
        <rFont val="微软雅黑"/>
        <charset val="134"/>
      </rPr>
      <t>头部基金公司人士/华南基金人士（媒体调研）</t>
    </r>
  </si>
  <si>
    <r>
      <rPr>
        <sz val="10"/>
        <rFont val="微软雅黑"/>
        <charset val="134"/>
      </rPr>
      <t>—</t>
    </r>
  </si>
  <si>
    <r>
      <rPr>
        <sz val="10"/>
        <rFont val="微软雅黑"/>
        <charset val="134"/>
      </rPr>
      <t>本轮抱团特征</t>
    </r>
  </si>
  <si>
    <r>
      <rPr>
        <sz val="10"/>
        <rFont val="微软雅黑"/>
        <charset val="134"/>
      </rPr>
      <t>本轮关于AI硬件超配的抱团或许比之前更加极致和集中。此前虽存在抱团但超配比例绝对值不高，本轮针对电子和通信的超配非常极致。基金抱团呈现更窄赛道、更高集中度、更复杂资金结构等新特征，带来更高的交易拥堵和估值透支风险。</t>
    </r>
  </si>
  <si>
    <r>
      <rPr>
        <sz val="10"/>
        <rFont val="微软雅黑"/>
        <charset val="134"/>
      </rPr>
      <t>超配比例、集中度</t>
    </r>
  </si>
  <si>
    <r>
      <rPr>
        <b/>
        <sz val="14"/>
        <color rgb="FF1F3864"/>
        <rFont val="微软雅黑"/>
        <charset val="134"/>
      </rPr>
      <t>数据来源、口径与验证清单</t>
    </r>
  </si>
  <si>
    <r>
      <rPr>
        <sz val="9"/>
        <color rgb="FF808080"/>
        <rFont val="微软雅黑"/>
        <charset val="134"/>
      </rPr>
      <t>查询日期：2026-09-29</t>
    </r>
  </si>
  <si>
    <r>
      <rPr>
        <b/>
        <sz val="10"/>
        <color rgb="FFFFFFFF"/>
        <rFont val="微软雅黑"/>
        <charset val="134"/>
      </rPr>
      <t>数据项</t>
    </r>
  </si>
  <si>
    <r>
      <rPr>
        <b/>
        <sz val="10"/>
        <color rgb="FFFFFFFF"/>
        <rFont val="微软雅黑"/>
        <charset val="134"/>
      </rPr>
      <t>来源平台</t>
    </r>
  </si>
  <si>
    <r>
      <rPr>
        <b/>
        <sz val="10"/>
        <color rgb="FFFFFFFF"/>
        <rFont val="微软雅黑"/>
        <charset val="134"/>
      </rPr>
      <t>接口/页面</t>
    </r>
  </si>
  <si>
    <r>
      <rPr>
        <b/>
        <sz val="10"/>
        <color rgb="FFFFFFFF"/>
        <rFont val="微软雅黑"/>
        <charset val="134"/>
      </rPr>
      <t>时间范围</t>
    </r>
  </si>
  <si>
    <r>
      <rPr>
        <b/>
        <sz val="10"/>
        <color rgb="FFFFFFFF"/>
        <rFont val="微软雅黑"/>
        <charset val="134"/>
      </rPr>
      <t>频率</t>
    </r>
  </si>
  <si>
    <r>
      <rPr>
        <b/>
        <sz val="10"/>
        <color rgb="FFFFFFFF"/>
        <rFont val="微软雅黑"/>
        <charset val="134"/>
      </rPr>
      <t>说明</t>
    </r>
  </si>
  <si>
    <r>
      <rPr>
        <sz val="10"/>
        <rFont val="微软雅黑"/>
        <charset val="134"/>
      </rPr>
      <t>全市场基金数量/规模</t>
    </r>
  </si>
  <si>
    <r>
      <rPr>
        <sz val="10"/>
        <rFont val="微软雅黑"/>
        <charset val="134"/>
      </rPr>
      <t>天天基金·东方财富</t>
    </r>
  </si>
  <si>
    <r>
      <rPr>
        <sz val="10"/>
        <rFont val="微软雅黑"/>
        <charset val="134"/>
      </rPr>
      <t>fund_scale_change_em()（基金业协会口径）</t>
    </r>
  </si>
  <si>
    <r>
      <rPr>
        <sz val="10"/>
        <rFont val="微软雅黑"/>
        <charset val="134"/>
      </rPr>
      <t>1998Q2-2026Q2</t>
    </r>
  </si>
  <si>
    <r>
      <rPr>
        <sz val="10"/>
        <rFont val="微软雅黑"/>
        <charset val="134"/>
      </rPr>
      <t>季度</t>
    </r>
  </si>
  <si>
    <r>
      <rPr>
        <sz val="10"/>
        <rFont val="微软雅黑"/>
        <charset val="134"/>
      </rPr>
      <t>官方协会口径，作全市场规模基准</t>
    </r>
  </si>
  <si>
    <r>
      <rPr>
        <sz val="10"/>
        <rFont val="微软雅黑"/>
        <charset val="134"/>
      </rPr>
      <t>基金列表与类型</t>
    </r>
  </si>
  <si>
    <r>
      <rPr>
        <sz val="10"/>
        <rFont val="微软雅黑"/>
        <charset val="134"/>
      </rPr>
      <t>fund_name_em()</t>
    </r>
  </si>
  <si>
    <r>
      <rPr>
        <sz val="10"/>
        <rFont val="微软雅黑"/>
        <charset val="134"/>
      </rPr>
      <t>现时快照</t>
    </r>
  </si>
  <si>
    <r>
      <rPr>
        <sz val="10"/>
        <rFont val="微软雅黑"/>
        <charset val="134"/>
      </rPr>
      <t>27991只，用于主动权益筛选</t>
    </r>
  </si>
  <si>
    <r>
      <rPr>
        <sz val="10"/>
        <rFont val="微软雅黑"/>
        <charset val="134"/>
      </rPr>
      <t>开放式基金份额</t>
    </r>
  </si>
  <si>
    <r>
      <rPr>
        <sz val="10"/>
        <rFont val="微软雅黑"/>
        <charset val="134"/>
      </rPr>
      <t>新浪财经</t>
    </r>
  </si>
  <si>
    <r>
      <rPr>
        <sz val="10"/>
        <rFont val="微软雅黑"/>
        <charset val="134"/>
      </rPr>
      <t>fund_scale_open_sina()</t>
    </r>
  </si>
  <si>
    <r>
      <rPr>
        <sz val="10"/>
        <rFont val="微软雅黑"/>
        <charset val="134"/>
      </rPr>
      <t>7042只，用于规模排序</t>
    </r>
  </si>
  <si>
    <r>
      <rPr>
        <sz val="10"/>
        <rFont val="微软雅黑"/>
        <charset val="134"/>
      </rPr>
      <t>主动权益基金持仓</t>
    </r>
  </si>
  <si>
    <r>
      <rPr>
        <sz val="10"/>
        <rFont val="微软雅黑"/>
        <charset val="134"/>
      </rPr>
      <t>fund_portfolio_hold_em（自建带请求头版本）</t>
    </r>
  </si>
  <si>
    <r>
      <rPr>
        <sz val="10"/>
        <rFont val="微软雅黑"/>
        <charset val="134"/>
      </rPr>
      <t>2018-2026</t>
    </r>
  </si>
  <si>
    <r>
      <rPr>
        <sz val="10"/>
        <rFont val="微软雅黑"/>
        <charset val="134"/>
      </rPr>
      <t>季报前十大重仓股，核心数据</t>
    </r>
  </si>
  <si>
    <r>
      <rPr>
        <sz val="10"/>
        <rFont val="微软雅黑"/>
        <charset val="134"/>
      </rPr>
      <t>申万一级成分股</t>
    </r>
  </si>
  <si>
    <r>
      <rPr>
        <sz val="10"/>
        <rFont val="微软雅黑"/>
        <charset val="134"/>
      </rPr>
      <t>申万宏源/akshare</t>
    </r>
  </si>
  <si>
    <r>
      <rPr>
        <sz val="10"/>
        <rFont val="微软雅黑"/>
        <charset val="134"/>
      </rPr>
      <t>sw_index_first_info()+index_component_sw()</t>
    </r>
  </si>
  <si>
    <r>
      <rPr>
        <sz val="10"/>
        <rFont val="微软雅黑"/>
        <charset val="134"/>
      </rPr>
      <t>现行31行业</t>
    </r>
  </si>
  <si>
    <r>
      <rPr>
        <sz val="10"/>
        <rFont val="微软雅黑"/>
        <charset val="134"/>
      </rPr>
      <t>5220只A股映射，自建</t>
    </r>
  </si>
  <si>
    <r>
      <rPr>
        <sz val="10"/>
        <rFont val="微软雅黑"/>
        <charset val="134"/>
      </rPr>
      <t>证监会19行业配置</t>
    </r>
  </si>
  <si>
    <r>
      <rPr>
        <sz val="10"/>
        <rFont val="微软雅黑"/>
        <charset val="134"/>
      </rPr>
      <t>巨潮资讯 cninfo</t>
    </r>
  </si>
  <si>
    <r>
      <rPr>
        <sz val="10"/>
        <rFont val="微软雅黑"/>
        <charset val="134"/>
      </rPr>
      <t>fund_report_industry_allocation_cninfo()</t>
    </r>
  </si>
  <si>
    <r>
      <rPr>
        <sz val="10"/>
        <rFont val="微软雅黑"/>
        <charset val="134"/>
      </rPr>
      <t>2015Q1-2026Q2</t>
    </r>
  </si>
  <si>
    <r>
      <rPr>
        <sz val="10"/>
        <rFont val="微软雅黑"/>
        <charset val="134"/>
      </rPr>
      <t>官方口径校验基准</t>
    </r>
  </si>
  <si>
    <r>
      <rPr>
        <sz val="10"/>
        <rFont val="微软雅黑"/>
        <charset val="134"/>
      </rPr>
      <t>沪深300成分与权重</t>
    </r>
  </si>
  <si>
    <r>
      <rPr>
        <sz val="10"/>
        <rFont val="微软雅黑"/>
        <charset val="134"/>
      </rPr>
      <t>中证指数公司</t>
    </r>
  </si>
  <si>
    <r>
      <rPr>
        <sz val="10"/>
        <rFont val="微软雅黑"/>
        <charset val="134"/>
      </rPr>
      <t>index_stock_cons_csindex('000300')</t>
    </r>
  </si>
  <si>
    <r>
      <rPr>
        <sz val="10"/>
        <rFont val="微软雅黑"/>
        <charset val="134"/>
      </rPr>
      <t>2026-09-28</t>
    </r>
  </si>
  <si>
    <r>
      <rPr>
        <sz val="10"/>
        <rFont val="微软雅黑"/>
        <charset val="134"/>
      </rPr>
      <t>300只，自建申万权重</t>
    </r>
  </si>
  <si>
    <r>
      <rPr>
        <sz val="10"/>
        <rFont val="微软雅黑"/>
        <charset val="134"/>
      </rPr>
      <t>指数行情</t>
    </r>
  </si>
  <si>
    <r>
      <rPr>
        <sz val="10"/>
        <rFont val="微软雅黑"/>
        <charset val="134"/>
      </rPr>
      <t>stock_zh_index_daily()</t>
    </r>
  </si>
  <si>
    <r>
      <rPr>
        <sz val="10"/>
        <rFont val="微软雅黑"/>
        <charset val="134"/>
      </rPr>
      <t>1990-2026-09-28</t>
    </r>
  </si>
  <si>
    <r>
      <rPr>
        <sz val="10"/>
        <rFont val="微软雅黑"/>
        <charset val="134"/>
      </rPr>
      <t>日度→季末</t>
    </r>
  </si>
  <si>
    <r>
      <rPr>
        <sz val="10"/>
        <rFont val="微软雅黑"/>
        <charset val="134"/>
      </rPr>
      <t>上证/深证/沪深300等</t>
    </r>
  </si>
  <si>
    <r>
      <rPr>
        <sz val="10"/>
        <rFont val="微软雅黑"/>
        <charset val="134"/>
      </rPr>
      <t>申万行业指数</t>
    </r>
  </si>
  <si>
    <r>
      <rPr>
        <sz val="10"/>
        <rFont val="微软雅黑"/>
        <charset val="134"/>
      </rPr>
      <t>index_hist_sw()</t>
    </r>
  </si>
  <si>
    <r>
      <rPr>
        <sz val="10"/>
        <rFont val="微软雅黑"/>
        <charset val="134"/>
      </rPr>
      <t>1999-2026</t>
    </r>
  </si>
  <si>
    <r>
      <rPr>
        <sz val="10"/>
        <rFont val="微软雅黑"/>
        <charset val="134"/>
      </rPr>
      <t>日度</t>
    </r>
  </si>
  <si>
    <r>
      <rPr>
        <sz val="10"/>
        <rFont val="微软雅黑"/>
        <charset val="134"/>
      </rPr>
      <t>31个一级行业</t>
    </r>
  </si>
  <si>
    <r>
      <rPr>
        <b/>
        <sz val="10"/>
        <rFont val="微软雅黑"/>
        <charset val="134"/>
      </rPr>
      <t>质量检查清单</t>
    </r>
  </si>
  <si>
    <r>
      <rPr>
        <b/>
        <sz val="10"/>
        <color rgb="FFFFFFFF"/>
        <rFont val="微软雅黑"/>
        <charset val="134"/>
      </rPr>
      <t>检查项</t>
    </r>
  </si>
  <si>
    <r>
      <rPr>
        <b/>
        <sz val="10"/>
        <color rgb="FFFFFFFF"/>
        <rFont val="微软雅黑"/>
        <charset val="134"/>
      </rPr>
      <t>标准/说明</t>
    </r>
  </si>
  <si>
    <r>
      <rPr>
        <b/>
        <sz val="10"/>
        <color rgb="FFFFFFFF"/>
        <rFont val="微软雅黑"/>
        <charset val="134"/>
      </rPr>
      <t>结论</t>
    </r>
  </si>
  <si>
    <r>
      <rPr>
        <sz val="10"/>
        <rFont val="微软雅黑"/>
        <charset val="134"/>
      </rPr>
      <t>口径一致性</t>
    </r>
  </si>
  <si>
    <r>
      <rPr>
        <sz val="10"/>
        <rFont val="微软雅黑"/>
        <charset val="134"/>
      </rPr>
      <t>行业=申万一级31个；规模=资产净值；份额=期末总份额；收益率=区间收益率</t>
    </r>
  </si>
  <si>
    <r>
      <rPr>
        <sz val="10"/>
        <rFont val="微软雅黑"/>
        <charset val="134"/>
      </rPr>
      <t>√</t>
    </r>
  </si>
  <si>
    <r>
      <rPr>
        <sz val="10"/>
        <rFont val="微软雅黑"/>
        <charset val="134"/>
      </rPr>
      <t>重复数据检查</t>
    </r>
  </si>
  <si>
    <r>
      <rPr>
        <sz val="10"/>
        <rFont val="微软雅黑"/>
        <charset val="134"/>
      </rPr>
      <t>A/C/E份额在持仓层面天然去重（各份额持仓相同，聚合时按份额计但不重复计入同一基金的持仓）</t>
    </r>
  </si>
  <si>
    <r>
      <rPr>
        <sz val="10"/>
        <rFont val="微软雅黑"/>
        <charset val="134"/>
      </rPr>
      <t>异常值标注</t>
    </r>
  </si>
  <si>
    <r>
      <rPr>
        <sz val="10"/>
        <rFont val="微软雅黑"/>
        <charset val="134"/>
      </rPr>
      <t>超配&gt;±3σ或明显偏离已单独标注</t>
    </r>
  </si>
  <si>
    <r>
      <rPr>
        <sz val="10"/>
        <rFont val="微软雅黑"/>
        <charset val="134"/>
      </rPr>
      <t>数据加总验证</t>
    </r>
  </si>
  <si>
    <r>
      <rPr>
        <sz val="10"/>
        <rFont val="微软雅黑"/>
        <charset val="134"/>
      </rPr>
      <t>各季度行业配置比例之和=100.00%（见表2末行）</t>
    </r>
  </si>
  <si>
    <r>
      <rPr>
        <sz val="10"/>
        <rFont val="微软雅黑"/>
        <charset val="134"/>
      </rPr>
      <t>结论与数据一致性</t>
    </r>
  </si>
  <si>
    <r>
      <rPr>
        <sz val="10"/>
        <rFont val="微软雅黑"/>
        <charset val="134"/>
      </rPr>
      <t>所有结论均可回溯至本工作簿对应Sheet</t>
    </r>
  </si>
  <si>
    <r>
      <rPr>
        <sz val="10"/>
        <rFont val="微软雅黑"/>
        <charset val="134"/>
      </rPr>
      <t>券商复核完整性</t>
    </r>
  </si>
  <si>
    <r>
      <rPr>
        <sz val="10"/>
        <rFont val="微软雅黑"/>
        <charset val="134"/>
      </rPr>
      <t>13家机构观点，见表9</t>
    </r>
  </si>
  <si>
    <r>
      <rPr>
        <sz val="10"/>
        <rFont val="微软雅黑"/>
        <charset val="134"/>
      </rPr>
      <t>港股剔除说明</t>
    </r>
  </si>
  <si>
    <r>
      <rPr>
        <sz val="10"/>
        <rFont val="微软雅黑"/>
        <charset val="134"/>
      </rPr>
      <t>港股/非A股无法映射申万一级，已剔除并在报告说明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</si>
</sst>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5">
    <font>
      <sz val="11"/>
      <color theme="1"/>
      <name val="宋体"/>
      <charset val="134"/>
      <scheme val="minor"/>
    </font>
    <font>
      <b/>
      <sz val="14"/>
      <color rgb="FF1F3864"/>
      <name val="微软雅黑"/>
      <charset val="134"/>
    </font>
    <font>
      <sz val="9"/>
      <color rgb="FF808080"/>
      <name val="微软雅黑"/>
      <charset val="134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0" fontId="5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76" fontId="4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全市场公募基金规模与数量（2006-2026Q2）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'1-基金规模结构'!$D$4</c:f>
              <c:strCache>
                <c:ptCount val="1"/>
                <c:pt idx="0">
                  <c:v>期末净资产(亿元)</c:v>
                </c:pt>
              </c:strCache>
            </c:strRef>
          </c:tx>
          <c:spPr>
            <a:ln w="4762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'1-基金规模结构'!$A$5:$A$86</c:f>
              <c:strCache>
                <c:ptCount val="82"/>
                <c:pt idx="0">
                  <c:v>2006-03-31</c:v>
                </c:pt>
                <c:pt idx="1">
                  <c:v>2006-06-30</c:v>
                </c:pt>
                <c:pt idx="2">
                  <c:v>2006-09-30</c:v>
                </c:pt>
                <c:pt idx="3">
                  <c:v>2006-12-31</c:v>
                </c:pt>
                <c:pt idx="4">
                  <c:v>2007-03-31</c:v>
                </c:pt>
                <c:pt idx="5">
                  <c:v>2007-06-30</c:v>
                </c:pt>
                <c:pt idx="6">
                  <c:v>2007-09-30</c:v>
                </c:pt>
                <c:pt idx="7">
                  <c:v>2007-12-31</c:v>
                </c:pt>
                <c:pt idx="8">
                  <c:v>2008-03-31</c:v>
                </c:pt>
                <c:pt idx="9">
                  <c:v>2008-06-30</c:v>
                </c:pt>
                <c:pt idx="10">
                  <c:v>2008-09-30</c:v>
                </c:pt>
                <c:pt idx="11">
                  <c:v>2008-12-31</c:v>
                </c:pt>
                <c:pt idx="12">
                  <c:v>2009-03-31</c:v>
                </c:pt>
                <c:pt idx="13">
                  <c:v>2009-06-30</c:v>
                </c:pt>
                <c:pt idx="14">
                  <c:v>2009-09-30</c:v>
                </c:pt>
                <c:pt idx="15">
                  <c:v>2009-12-31</c:v>
                </c:pt>
                <c:pt idx="16">
                  <c:v>2010-03-31</c:v>
                </c:pt>
                <c:pt idx="17">
                  <c:v>2010-06-30</c:v>
                </c:pt>
                <c:pt idx="18">
                  <c:v>2010-09-30</c:v>
                </c:pt>
                <c:pt idx="19">
                  <c:v>2010-12-31</c:v>
                </c:pt>
                <c:pt idx="20">
                  <c:v>2011-03-31</c:v>
                </c:pt>
                <c:pt idx="21">
                  <c:v>2011-06-30</c:v>
                </c:pt>
                <c:pt idx="22">
                  <c:v>2011-09-30</c:v>
                </c:pt>
                <c:pt idx="23">
                  <c:v>2011-12-31</c:v>
                </c:pt>
                <c:pt idx="24">
                  <c:v>2012-03-31</c:v>
                </c:pt>
                <c:pt idx="25">
                  <c:v>2012-06-30</c:v>
                </c:pt>
                <c:pt idx="26">
                  <c:v>2012-09-30</c:v>
                </c:pt>
                <c:pt idx="27">
                  <c:v>2012-12-31</c:v>
                </c:pt>
                <c:pt idx="28">
                  <c:v>2013-03-31</c:v>
                </c:pt>
                <c:pt idx="29">
                  <c:v>2013-06-30</c:v>
                </c:pt>
                <c:pt idx="30">
                  <c:v>2013-09-30</c:v>
                </c:pt>
                <c:pt idx="31">
                  <c:v>2013-12-31</c:v>
                </c:pt>
                <c:pt idx="32">
                  <c:v>2014-03-31</c:v>
                </c:pt>
                <c:pt idx="33">
                  <c:v>2014-06-30</c:v>
                </c:pt>
                <c:pt idx="34">
                  <c:v>2014-09-30</c:v>
                </c:pt>
                <c:pt idx="35">
                  <c:v>2014-12-31</c:v>
                </c:pt>
                <c:pt idx="36">
                  <c:v>2015-03-31</c:v>
                </c:pt>
                <c:pt idx="37">
                  <c:v>2015-06-30</c:v>
                </c:pt>
                <c:pt idx="38">
                  <c:v>2015-09-30</c:v>
                </c:pt>
                <c:pt idx="39">
                  <c:v>2015-12-31</c:v>
                </c:pt>
                <c:pt idx="40">
                  <c:v>2016-03-31</c:v>
                </c:pt>
                <c:pt idx="41">
                  <c:v>2016-06-30</c:v>
                </c:pt>
                <c:pt idx="42">
                  <c:v>2016-09-30</c:v>
                </c:pt>
                <c:pt idx="43">
                  <c:v>2016-12-31</c:v>
                </c:pt>
                <c:pt idx="44">
                  <c:v>2017-03-31</c:v>
                </c:pt>
                <c:pt idx="45">
                  <c:v>2017-06-30</c:v>
                </c:pt>
                <c:pt idx="46">
                  <c:v>2017-09-30</c:v>
                </c:pt>
                <c:pt idx="47">
                  <c:v>2017-12-31</c:v>
                </c:pt>
                <c:pt idx="48">
                  <c:v>2018-03-31</c:v>
                </c:pt>
                <c:pt idx="49">
                  <c:v>2018-06-30</c:v>
                </c:pt>
                <c:pt idx="50">
                  <c:v>2018-09-30</c:v>
                </c:pt>
                <c:pt idx="51">
                  <c:v>2018-12-31</c:v>
                </c:pt>
                <c:pt idx="52">
                  <c:v>2019-03-31</c:v>
                </c:pt>
                <c:pt idx="53">
                  <c:v>2019-06-30</c:v>
                </c:pt>
                <c:pt idx="54">
                  <c:v>2019-09-30</c:v>
                </c:pt>
                <c:pt idx="55">
                  <c:v>2019-12-31</c:v>
                </c:pt>
                <c:pt idx="56">
                  <c:v>2020-03-31</c:v>
                </c:pt>
                <c:pt idx="57">
                  <c:v>2020-06-30</c:v>
                </c:pt>
                <c:pt idx="58">
                  <c:v>2020-09-30</c:v>
                </c:pt>
                <c:pt idx="59">
                  <c:v>2020-12-31</c:v>
                </c:pt>
                <c:pt idx="60">
                  <c:v>2021-03-31</c:v>
                </c:pt>
                <c:pt idx="61">
                  <c:v>2021-06-30</c:v>
                </c:pt>
                <c:pt idx="62">
                  <c:v>2021-09-30</c:v>
                </c:pt>
                <c:pt idx="63">
                  <c:v>2021-12-31</c:v>
                </c:pt>
                <c:pt idx="64">
                  <c:v>2022-03-31</c:v>
                </c:pt>
                <c:pt idx="65">
                  <c:v>2022-06-30</c:v>
                </c:pt>
                <c:pt idx="66">
                  <c:v>2022-09-30</c:v>
                </c:pt>
                <c:pt idx="67">
                  <c:v>2022-12-31</c:v>
                </c:pt>
                <c:pt idx="68">
                  <c:v>2023-03-31</c:v>
                </c:pt>
                <c:pt idx="69">
                  <c:v>2023-06-30</c:v>
                </c:pt>
                <c:pt idx="70">
                  <c:v>2023-09-30</c:v>
                </c:pt>
                <c:pt idx="71">
                  <c:v>2023-12-31</c:v>
                </c:pt>
                <c:pt idx="72">
                  <c:v>2024-03-31</c:v>
                </c:pt>
                <c:pt idx="73">
                  <c:v>2024-06-30</c:v>
                </c:pt>
                <c:pt idx="74">
                  <c:v>2024-09-30</c:v>
                </c:pt>
                <c:pt idx="75">
                  <c:v>2024-12-31</c:v>
                </c:pt>
                <c:pt idx="76">
                  <c:v>2025-03-31</c:v>
                </c:pt>
                <c:pt idx="77">
                  <c:v>2025-06-30</c:v>
                </c:pt>
                <c:pt idx="78">
                  <c:v>2025-09-30</c:v>
                </c:pt>
                <c:pt idx="79">
                  <c:v>2025-12-31</c:v>
                </c:pt>
                <c:pt idx="80">
                  <c:v>2026-03-31</c:v>
                </c:pt>
                <c:pt idx="81">
                  <c:v>2026-06-30</c:v>
                </c:pt>
              </c:strCache>
            </c:strRef>
          </c:cat>
          <c:val>
            <c:numRef>
              <c:f>'1-基金规模结构'!$D$5:$D$86</c:f>
              <c:numCache>
                <c:formatCode>#,##0.00</c:formatCode>
                <c:ptCount val="82"/>
                <c:pt idx="0">
                  <c:v>4964.93</c:v>
                </c:pt>
                <c:pt idx="1">
                  <c:v>5139.02</c:v>
                </c:pt>
                <c:pt idx="2">
                  <c:v>5147.84</c:v>
                </c:pt>
                <c:pt idx="3">
                  <c:v>8574.48</c:v>
                </c:pt>
                <c:pt idx="4">
                  <c:v>10559.98</c:v>
                </c:pt>
                <c:pt idx="5">
                  <c:v>18234.54</c:v>
                </c:pt>
                <c:pt idx="6">
                  <c:v>30439.09</c:v>
                </c:pt>
                <c:pt idx="7">
                  <c:v>33334.38</c:v>
                </c:pt>
                <c:pt idx="8">
                  <c:v>26472.84</c:v>
                </c:pt>
                <c:pt idx="9">
                  <c:v>21783.86</c:v>
                </c:pt>
                <c:pt idx="10">
                  <c:v>19329.04</c:v>
                </c:pt>
                <c:pt idx="11">
                  <c:v>21411.05</c:v>
                </c:pt>
                <c:pt idx="12">
                  <c:v>21094.76</c:v>
                </c:pt>
                <c:pt idx="13">
                  <c:v>24066.19</c:v>
                </c:pt>
                <c:pt idx="14">
                  <c:v>23058.25</c:v>
                </c:pt>
                <c:pt idx="15">
                  <c:v>29008.88</c:v>
                </c:pt>
                <c:pt idx="16">
                  <c:v>25496.79</c:v>
                </c:pt>
                <c:pt idx="17">
                  <c:v>22713.49</c:v>
                </c:pt>
                <c:pt idx="18">
                  <c:v>25202.58</c:v>
                </c:pt>
                <c:pt idx="19">
                  <c:v>27758.55</c:v>
                </c:pt>
                <c:pt idx="20">
                  <c:v>26206.27</c:v>
                </c:pt>
                <c:pt idx="21">
                  <c:v>26409.27</c:v>
                </c:pt>
                <c:pt idx="22">
                  <c:v>23441.7</c:v>
                </c:pt>
                <c:pt idx="23">
                  <c:v>25534.51</c:v>
                </c:pt>
                <c:pt idx="24">
                  <c:v>25738.72</c:v>
                </c:pt>
                <c:pt idx="25">
                  <c:v>30002.6</c:v>
                </c:pt>
                <c:pt idx="26">
                  <c:v>25140.39</c:v>
                </c:pt>
                <c:pt idx="27">
                  <c:v>28377.72</c:v>
                </c:pt>
                <c:pt idx="28">
                  <c:v>28701.97</c:v>
                </c:pt>
                <c:pt idx="29">
                  <c:v>26007.24</c:v>
                </c:pt>
                <c:pt idx="30">
                  <c:v>29432.96</c:v>
                </c:pt>
                <c:pt idx="31">
                  <c:v>30687.98</c:v>
                </c:pt>
                <c:pt idx="32">
                  <c:v>35836.56</c:v>
                </c:pt>
                <c:pt idx="33">
                  <c:v>37041.45</c:v>
                </c:pt>
                <c:pt idx="34">
                  <c:v>40215.07</c:v>
                </c:pt>
                <c:pt idx="35">
                  <c:v>47131.21</c:v>
                </c:pt>
                <c:pt idx="36">
                  <c:v>55581.83</c:v>
                </c:pt>
                <c:pt idx="37">
                  <c:v>85210.31</c:v>
                </c:pt>
                <c:pt idx="38">
                  <c:v>80963.36</c:v>
                </c:pt>
                <c:pt idx="39">
                  <c:v>97189.87</c:v>
                </c:pt>
                <c:pt idx="40">
                  <c:v>80894.46</c:v>
                </c:pt>
                <c:pt idx="41">
                  <c:v>81463.56</c:v>
                </c:pt>
                <c:pt idx="42">
                  <c:v>91229.05</c:v>
                </c:pt>
                <c:pt idx="43">
                  <c:v>91304.57</c:v>
                </c:pt>
                <c:pt idx="44">
                  <c:v>94294.26</c:v>
                </c:pt>
                <c:pt idx="45">
                  <c:v>103021.09</c:v>
                </c:pt>
                <c:pt idx="46">
                  <c:v>113655.11</c:v>
                </c:pt>
                <c:pt idx="47">
                  <c:v>117372.42</c:v>
                </c:pt>
                <c:pt idx="48">
                  <c:v>125267.43</c:v>
                </c:pt>
                <c:pt idx="49">
                  <c:v>128856.37</c:v>
                </c:pt>
                <c:pt idx="50">
                  <c:v>134926.15</c:v>
                </c:pt>
                <c:pt idx="51">
                  <c:v>129788.1</c:v>
                </c:pt>
                <c:pt idx="52">
                  <c:v>138625.5</c:v>
                </c:pt>
                <c:pt idx="53">
                  <c:v>134726.87</c:v>
                </c:pt>
                <c:pt idx="54">
                  <c:v>137645.67</c:v>
                </c:pt>
                <c:pt idx="55">
                  <c:v>145553.53</c:v>
                </c:pt>
                <c:pt idx="56">
                  <c:v>166785.71</c:v>
                </c:pt>
                <c:pt idx="57">
                  <c:v>169407.63</c:v>
                </c:pt>
                <c:pt idx="58">
                  <c:v>177204.66</c:v>
                </c:pt>
                <c:pt idx="59">
                  <c:v>200710.77</c:v>
                </c:pt>
                <c:pt idx="60">
                  <c:v>214310.09</c:v>
                </c:pt>
                <c:pt idx="61">
                  <c:v>229216.79</c:v>
                </c:pt>
                <c:pt idx="62">
                  <c:v>237506.7</c:v>
                </c:pt>
                <c:pt idx="63">
                  <c:v>253027.48</c:v>
                </c:pt>
                <c:pt idx="64">
                  <c:v>251343.65</c:v>
                </c:pt>
                <c:pt idx="65">
                  <c:v>266943.46</c:v>
                </c:pt>
                <c:pt idx="66">
                  <c:v>264219.51</c:v>
                </c:pt>
                <c:pt idx="67">
                  <c:v>258154.92</c:v>
                </c:pt>
                <c:pt idx="68">
                  <c:v>264781.11</c:v>
                </c:pt>
                <c:pt idx="69">
                  <c:v>276121.28</c:v>
                </c:pt>
                <c:pt idx="70">
                  <c:v>273521.02</c:v>
                </c:pt>
                <c:pt idx="71">
                  <c:v>274206.85</c:v>
                </c:pt>
                <c:pt idx="72">
                  <c:v>290815.24</c:v>
                </c:pt>
                <c:pt idx="73">
                  <c:v>309619.2</c:v>
                </c:pt>
                <c:pt idx="74">
                  <c:v>320523.89</c:v>
                </c:pt>
                <c:pt idx="75">
                  <c:v>326930.94</c:v>
                </c:pt>
                <c:pt idx="76">
                  <c:v>320568.84</c:v>
                </c:pt>
                <c:pt idx="77">
                  <c:v>344910.84</c:v>
                </c:pt>
                <c:pt idx="78">
                  <c:v>364586.45</c:v>
                </c:pt>
                <c:pt idx="79">
                  <c:v>376850.21</c:v>
                </c:pt>
                <c:pt idx="80">
                  <c:v>373482.35</c:v>
                </c:pt>
                <c:pt idx="81">
                  <c:v>396907.64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报告期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期末净资产（亿元）</a:t>
                </a:r>
              </a:p>
            </c:rich>
          </c:tx>
          <c:layout/>
          <c:overlay val="0"/>
        </c:title>
        <c:numFmt formatCode="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a6c1f45-810e-4890-a0d9-8c8af4dff58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行业集中度演变 CR3/CR5/CR10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'3-行业集中度CR_HHI'!$B$4</c:f>
              <c:strCache>
                <c:ptCount val="1"/>
                <c:pt idx="0">
                  <c:v>CR3</c:v>
                </c:pt>
              </c:strCache>
            </c:strRef>
          </c:tx>
          <c:spPr>
            <a:ln w="47625" cap="rnd" cmpd="sng" algn="ctr">
              <a:solidFill>
                <a:schemeClr val="accent2">
                  <a:shade val="65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'3-行业集中度CR_HHI'!$A$5:$A$38</c:f>
              <c:strCache>
                <c:ptCount val="34"/>
                <c:pt idx="0">
                  <c:v>2018Q1</c:v>
                </c:pt>
                <c:pt idx="1">
                  <c:v>2018Q2</c:v>
                </c:pt>
                <c:pt idx="2">
                  <c:v>2018Q3</c:v>
                </c:pt>
                <c:pt idx="3">
                  <c:v>2018Q4</c:v>
                </c:pt>
                <c:pt idx="4">
                  <c:v>2019Q1</c:v>
                </c:pt>
                <c:pt idx="5">
                  <c:v>2019Q2</c:v>
                </c:pt>
                <c:pt idx="6">
                  <c:v>2019Q3</c:v>
                </c:pt>
                <c:pt idx="7">
                  <c:v>2019Q4</c:v>
                </c:pt>
                <c:pt idx="8">
                  <c:v>2020Q1</c:v>
                </c:pt>
                <c:pt idx="9">
                  <c:v>2020Q2</c:v>
                </c:pt>
                <c:pt idx="10">
                  <c:v>2020Q3</c:v>
                </c:pt>
                <c:pt idx="11">
                  <c:v>2020Q4</c:v>
                </c:pt>
                <c:pt idx="12">
                  <c:v>2021Q1</c:v>
                </c:pt>
                <c:pt idx="13">
                  <c:v>2021Q2</c:v>
                </c:pt>
                <c:pt idx="14">
                  <c:v>2021Q3</c:v>
                </c:pt>
                <c:pt idx="15">
                  <c:v>2021Q4</c:v>
                </c:pt>
                <c:pt idx="16">
                  <c:v>2022Q1</c:v>
                </c:pt>
                <c:pt idx="17">
                  <c:v>2022Q2</c:v>
                </c:pt>
                <c:pt idx="18">
                  <c:v>2022Q3</c:v>
                </c:pt>
                <c:pt idx="19">
                  <c:v>2022Q4</c:v>
                </c:pt>
                <c:pt idx="20">
                  <c:v>2023Q1</c:v>
                </c:pt>
                <c:pt idx="21">
                  <c:v>2023Q2</c:v>
                </c:pt>
                <c:pt idx="22">
                  <c:v>2023Q3</c:v>
                </c:pt>
                <c:pt idx="23">
                  <c:v>2023Q4</c:v>
                </c:pt>
                <c:pt idx="24">
                  <c:v>2024Q1</c:v>
                </c:pt>
                <c:pt idx="25">
                  <c:v>2024Q2</c:v>
                </c:pt>
                <c:pt idx="26">
                  <c:v>2024Q3</c:v>
                </c:pt>
                <c:pt idx="27">
                  <c:v>2024Q4</c:v>
                </c:pt>
                <c:pt idx="28">
                  <c:v>2025Q1</c:v>
                </c:pt>
                <c:pt idx="29">
                  <c:v>2025Q2</c:v>
                </c:pt>
                <c:pt idx="30">
                  <c:v>2025Q3</c:v>
                </c:pt>
                <c:pt idx="31">
                  <c:v>2025Q4</c:v>
                </c:pt>
                <c:pt idx="32">
                  <c:v>2026Q1</c:v>
                </c:pt>
                <c:pt idx="33">
                  <c:v>2026Q2</c:v>
                </c:pt>
              </c:strCache>
            </c:strRef>
          </c:cat>
          <c:val>
            <c:numRef>
              <c:f>'3-行业集中度CR_HHI'!$B$5:$B$38</c:f>
              <c:numCache>
                <c:formatCode>0.0000</c:formatCode>
                <c:ptCount val="34"/>
                <c:pt idx="0">
                  <c:v>34.4797690126721</c:v>
                </c:pt>
                <c:pt idx="1">
                  <c:v>43.1989781301979</c:v>
                </c:pt>
                <c:pt idx="2">
                  <c:v>41.3731279971047</c:v>
                </c:pt>
                <c:pt idx="3">
                  <c:v>38.3359649757561</c:v>
                </c:pt>
                <c:pt idx="4">
                  <c:v>43.4796128102856</c:v>
                </c:pt>
                <c:pt idx="5">
                  <c:v>46.3197505710441</c:v>
                </c:pt>
                <c:pt idx="6">
                  <c:v>46.0209259615023</c:v>
                </c:pt>
                <c:pt idx="7">
                  <c:v>43.3201291572802</c:v>
                </c:pt>
                <c:pt idx="8">
                  <c:v>46.1894554417283</c:v>
                </c:pt>
                <c:pt idx="9">
                  <c:v>53.4744084087414</c:v>
                </c:pt>
                <c:pt idx="10">
                  <c:v>49.0223980533087</c:v>
                </c:pt>
                <c:pt idx="11">
                  <c:v>47.7501627797736</c:v>
                </c:pt>
                <c:pt idx="12">
                  <c:v>43.7845404186468</c:v>
                </c:pt>
                <c:pt idx="13">
                  <c:v>51.9003488838232</c:v>
                </c:pt>
                <c:pt idx="14">
                  <c:v>55.4820270974034</c:v>
                </c:pt>
                <c:pt idx="15">
                  <c:v>52.1407443678664</c:v>
                </c:pt>
                <c:pt idx="16">
                  <c:v>52.6078587817519</c:v>
                </c:pt>
                <c:pt idx="17">
                  <c:v>55.4410247939345</c:v>
                </c:pt>
                <c:pt idx="18">
                  <c:v>52.9376548828465</c:v>
                </c:pt>
                <c:pt idx="19">
                  <c:v>56.025638924419</c:v>
                </c:pt>
                <c:pt idx="20">
                  <c:v>52.7631762093508</c:v>
                </c:pt>
                <c:pt idx="21">
                  <c:v>48.4060508186873</c:v>
                </c:pt>
                <c:pt idx="22">
                  <c:v>46.8858361140902</c:v>
                </c:pt>
                <c:pt idx="23">
                  <c:v>46.7971134008495</c:v>
                </c:pt>
                <c:pt idx="24">
                  <c:v>43.6707341223751</c:v>
                </c:pt>
                <c:pt idx="25">
                  <c:v>45.5717960148404</c:v>
                </c:pt>
                <c:pt idx="26">
                  <c:v>46.7354044233655</c:v>
                </c:pt>
                <c:pt idx="27">
                  <c:v>49.2402989223141</c:v>
                </c:pt>
                <c:pt idx="28">
                  <c:v>50.140167539753</c:v>
                </c:pt>
                <c:pt idx="29">
                  <c:v>50.2022182156125</c:v>
                </c:pt>
                <c:pt idx="30">
                  <c:v>55.3319794771457</c:v>
                </c:pt>
                <c:pt idx="31">
                  <c:v>50.538722781185</c:v>
                </c:pt>
                <c:pt idx="32">
                  <c:v>50.584340793023</c:v>
                </c:pt>
                <c:pt idx="33">
                  <c:v>63.4893936607099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'3-行业集中度CR_HHI'!$C$4</c:f>
              <c:strCache>
                <c:ptCount val="1"/>
                <c:pt idx="0">
                  <c:v>CR5</c:v>
                </c:pt>
              </c:strCache>
            </c:strRef>
          </c:tx>
          <c:spPr>
            <a:ln w="4762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'3-行业集中度CR_HHI'!$A$5:$A$38</c:f>
              <c:strCache>
                <c:ptCount val="34"/>
                <c:pt idx="0">
                  <c:v>2018Q1</c:v>
                </c:pt>
                <c:pt idx="1">
                  <c:v>2018Q2</c:v>
                </c:pt>
                <c:pt idx="2">
                  <c:v>2018Q3</c:v>
                </c:pt>
                <c:pt idx="3">
                  <c:v>2018Q4</c:v>
                </c:pt>
                <c:pt idx="4">
                  <c:v>2019Q1</c:v>
                </c:pt>
                <c:pt idx="5">
                  <c:v>2019Q2</c:v>
                </c:pt>
                <c:pt idx="6">
                  <c:v>2019Q3</c:v>
                </c:pt>
                <c:pt idx="7">
                  <c:v>2019Q4</c:v>
                </c:pt>
                <c:pt idx="8">
                  <c:v>2020Q1</c:v>
                </c:pt>
                <c:pt idx="9">
                  <c:v>2020Q2</c:v>
                </c:pt>
                <c:pt idx="10">
                  <c:v>2020Q3</c:v>
                </c:pt>
                <c:pt idx="11">
                  <c:v>2020Q4</c:v>
                </c:pt>
                <c:pt idx="12">
                  <c:v>2021Q1</c:v>
                </c:pt>
                <c:pt idx="13">
                  <c:v>2021Q2</c:v>
                </c:pt>
                <c:pt idx="14">
                  <c:v>2021Q3</c:v>
                </c:pt>
                <c:pt idx="15">
                  <c:v>2021Q4</c:v>
                </c:pt>
                <c:pt idx="16">
                  <c:v>2022Q1</c:v>
                </c:pt>
                <c:pt idx="17">
                  <c:v>2022Q2</c:v>
                </c:pt>
                <c:pt idx="18">
                  <c:v>2022Q3</c:v>
                </c:pt>
                <c:pt idx="19">
                  <c:v>2022Q4</c:v>
                </c:pt>
                <c:pt idx="20">
                  <c:v>2023Q1</c:v>
                </c:pt>
                <c:pt idx="21">
                  <c:v>2023Q2</c:v>
                </c:pt>
                <c:pt idx="22">
                  <c:v>2023Q3</c:v>
                </c:pt>
                <c:pt idx="23">
                  <c:v>2023Q4</c:v>
                </c:pt>
                <c:pt idx="24">
                  <c:v>2024Q1</c:v>
                </c:pt>
                <c:pt idx="25">
                  <c:v>2024Q2</c:v>
                </c:pt>
                <c:pt idx="26">
                  <c:v>2024Q3</c:v>
                </c:pt>
                <c:pt idx="27">
                  <c:v>2024Q4</c:v>
                </c:pt>
                <c:pt idx="28">
                  <c:v>2025Q1</c:v>
                </c:pt>
                <c:pt idx="29">
                  <c:v>2025Q2</c:v>
                </c:pt>
                <c:pt idx="30">
                  <c:v>2025Q3</c:v>
                </c:pt>
                <c:pt idx="31">
                  <c:v>2025Q4</c:v>
                </c:pt>
                <c:pt idx="32">
                  <c:v>2026Q1</c:v>
                </c:pt>
                <c:pt idx="33">
                  <c:v>2026Q2</c:v>
                </c:pt>
              </c:strCache>
            </c:strRef>
          </c:cat>
          <c:val>
            <c:numRef>
              <c:f>'3-行业集中度CR_HHI'!$C$5:$C$38</c:f>
              <c:numCache>
                <c:formatCode>0.0000</c:formatCode>
                <c:ptCount val="34"/>
                <c:pt idx="0">
                  <c:v>49.4406351614046</c:v>
                </c:pt>
                <c:pt idx="1">
                  <c:v>56.6114183388311</c:v>
                </c:pt>
                <c:pt idx="2">
                  <c:v>54.7415987158073</c:v>
                </c:pt>
                <c:pt idx="3">
                  <c:v>53.3259073115308</c:v>
                </c:pt>
                <c:pt idx="4">
                  <c:v>58.1840403865205</c:v>
                </c:pt>
                <c:pt idx="5">
                  <c:v>60.0524723662237</c:v>
                </c:pt>
                <c:pt idx="6">
                  <c:v>62.187590016148</c:v>
                </c:pt>
                <c:pt idx="7">
                  <c:v>61.264973874814</c:v>
                </c:pt>
                <c:pt idx="8">
                  <c:v>63.2638782401852</c:v>
                </c:pt>
                <c:pt idx="9">
                  <c:v>71.7115363456656</c:v>
                </c:pt>
                <c:pt idx="10">
                  <c:v>64.2692149809387</c:v>
                </c:pt>
                <c:pt idx="11">
                  <c:v>61.549665224468</c:v>
                </c:pt>
                <c:pt idx="12">
                  <c:v>55.7231866305274</c:v>
                </c:pt>
                <c:pt idx="13">
                  <c:v>64.7255924679274</c:v>
                </c:pt>
                <c:pt idx="14">
                  <c:v>70.4714194753691</c:v>
                </c:pt>
                <c:pt idx="15">
                  <c:v>67.8162360434578</c:v>
                </c:pt>
                <c:pt idx="16">
                  <c:v>66.5160391547956</c:v>
                </c:pt>
                <c:pt idx="17">
                  <c:v>69.020085833158</c:v>
                </c:pt>
                <c:pt idx="18">
                  <c:v>65.150298314129</c:v>
                </c:pt>
                <c:pt idx="19">
                  <c:v>66.6231382699421</c:v>
                </c:pt>
                <c:pt idx="20">
                  <c:v>66.7880454506712</c:v>
                </c:pt>
                <c:pt idx="21">
                  <c:v>63.8460401863339</c:v>
                </c:pt>
                <c:pt idx="22">
                  <c:v>61.4207508558717</c:v>
                </c:pt>
                <c:pt idx="23">
                  <c:v>62.5552926336432</c:v>
                </c:pt>
                <c:pt idx="24">
                  <c:v>58.655541628703</c:v>
                </c:pt>
                <c:pt idx="25">
                  <c:v>59.2516796233788</c:v>
                </c:pt>
                <c:pt idx="26">
                  <c:v>61.300037120835</c:v>
                </c:pt>
                <c:pt idx="27">
                  <c:v>63.137948254745</c:v>
                </c:pt>
                <c:pt idx="28">
                  <c:v>64.6759095776998</c:v>
                </c:pt>
                <c:pt idx="29">
                  <c:v>62.0858683020309</c:v>
                </c:pt>
                <c:pt idx="30">
                  <c:v>67.678591164526</c:v>
                </c:pt>
                <c:pt idx="31">
                  <c:v>67.1848176258414</c:v>
                </c:pt>
                <c:pt idx="32">
                  <c:v>67.0400810553404</c:v>
                </c:pt>
                <c:pt idx="33">
                  <c:v>79.506671510867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'3-行业集中度CR_HHI'!$D$4</c:f>
              <c:strCache>
                <c:ptCount val="1"/>
                <c:pt idx="0">
                  <c:v>CR10</c:v>
                </c:pt>
              </c:strCache>
            </c:strRef>
          </c:tx>
          <c:spPr>
            <a:ln w="47625" cap="rnd" cmpd="sng" algn="ctr">
              <a:solidFill>
                <a:schemeClr val="accent2">
                  <a:tint val="65000"/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'3-行业集中度CR_HHI'!$A$5:$A$38</c:f>
              <c:strCache>
                <c:ptCount val="34"/>
                <c:pt idx="0">
                  <c:v>2018Q1</c:v>
                </c:pt>
                <c:pt idx="1">
                  <c:v>2018Q2</c:v>
                </c:pt>
                <c:pt idx="2">
                  <c:v>2018Q3</c:v>
                </c:pt>
                <c:pt idx="3">
                  <c:v>2018Q4</c:v>
                </c:pt>
                <c:pt idx="4">
                  <c:v>2019Q1</c:v>
                </c:pt>
                <c:pt idx="5">
                  <c:v>2019Q2</c:v>
                </c:pt>
                <c:pt idx="6">
                  <c:v>2019Q3</c:v>
                </c:pt>
                <c:pt idx="7">
                  <c:v>2019Q4</c:v>
                </c:pt>
                <c:pt idx="8">
                  <c:v>2020Q1</c:v>
                </c:pt>
                <c:pt idx="9">
                  <c:v>2020Q2</c:v>
                </c:pt>
                <c:pt idx="10">
                  <c:v>2020Q3</c:v>
                </c:pt>
                <c:pt idx="11">
                  <c:v>2020Q4</c:v>
                </c:pt>
                <c:pt idx="12">
                  <c:v>2021Q1</c:v>
                </c:pt>
                <c:pt idx="13">
                  <c:v>2021Q2</c:v>
                </c:pt>
                <c:pt idx="14">
                  <c:v>2021Q3</c:v>
                </c:pt>
                <c:pt idx="15">
                  <c:v>2021Q4</c:v>
                </c:pt>
                <c:pt idx="16">
                  <c:v>2022Q1</c:v>
                </c:pt>
                <c:pt idx="17">
                  <c:v>2022Q2</c:v>
                </c:pt>
                <c:pt idx="18">
                  <c:v>2022Q3</c:v>
                </c:pt>
                <c:pt idx="19">
                  <c:v>2022Q4</c:v>
                </c:pt>
                <c:pt idx="20">
                  <c:v>2023Q1</c:v>
                </c:pt>
                <c:pt idx="21">
                  <c:v>2023Q2</c:v>
                </c:pt>
                <c:pt idx="22">
                  <c:v>2023Q3</c:v>
                </c:pt>
                <c:pt idx="23">
                  <c:v>2023Q4</c:v>
                </c:pt>
                <c:pt idx="24">
                  <c:v>2024Q1</c:v>
                </c:pt>
                <c:pt idx="25">
                  <c:v>2024Q2</c:v>
                </c:pt>
                <c:pt idx="26">
                  <c:v>2024Q3</c:v>
                </c:pt>
                <c:pt idx="27">
                  <c:v>2024Q4</c:v>
                </c:pt>
                <c:pt idx="28">
                  <c:v>2025Q1</c:v>
                </c:pt>
                <c:pt idx="29">
                  <c:v>2025Q2</c:v>
                </c:pt>
                <c:pt idx="30">
                  <c:v>2025Q3</c:v>
                </c:pt>
                <c:pt idx="31">
                  <c:v>2025Q4</c:v>
                </c:pt>
                <c:pt idx="32">
                  <c:v>2026Q1</c:v>
                </c:pt>
                <c:pt idx="33">
                  <c:v>2026Q2</c:v>
                </c:pt>
              </c:strCache>
            </c:strRef>
          </c:cat>
          <c:val>
            <c:numRef>
              <c:f>'3-行业集中度CR_HHI'!$D$5:$D$38</c:f>
              <c:numCache>
                <c:formatCode>0.0000</c:formatCode>
                <c:ptCount val="34"/>
                <c:pt idx="0">
                  <c:v>74.6152854052756</c:v>
                </c:pt>
                <c:pt idx="1">
                  <c:v>77.1545428030079</c:v>
                </c:pt>
                <c:pt idx="2">
                  <c:v>76.4375677787189</c:v>
                </c:pt>
                <c:pt idx="3">
                  <c:v>75.9390862113564</c:v>
                </c:pt>
                <c:pt idx="4">
                  <c:v>80.5838684292051</c:v>
                </c:pt>
                <c:pt idx="5">
                  <c:v>81.6445205484119</c:v>
                </c:pt>
                <c:pt idx="6">
                  <c:v>83.713096150267</c:v>
                </c:pt>
                <c:pt idx="7">
                  <c:v>83.0687708012094</c:v>
                </c:pt>
                <c:pt idx="8">
                  <c:v>81.459611344137</c:v>
                </c:pt>
                <c:pt idx="9">
                  <c:v>86.6902304722791</c:v>
                </c:pt>
                <c:pt idx="10">
                  <c:v>81.1614665613672</c:v>
                </c:pt>
                <c:pt idx="11">
                  <c:v>79.5610975734839</c:v>
                </c:pt>
                <c:pt idx="12">
                  <c:v>76.3076177830868</c:v>
                </c:pt>
                <c:pt idx="13">
                  <c:v>83.2087709783537</c:v>
                </c:pt>
                <c:pt idx="14">
                  <c:v>85.3672094431187</c:v>
                </c:pt>
                <c:pt idx="15">
                  <c:v>83.9466585257469</c:v>
                </c:pt>
                <c:pt idx="16">
                  <c:v>82.44679350759</c:v>
                </c:pt>
                <c:pt idx="17">
                  <c:v>83.6935119389394</c:v>
                </c:pt>
                <c:pt idx="18">
                  <c:v>81.2176699218197</c:v>
                </c:pt>
                <c:pt idx="19">
                  <c:v>83.186071111963</c:v>
                </c:pt>
                <c:pt idx="20">
                  <c:v>82.9572137419997</c:v>
                </c:pt>
                <c:pt idx="21">
                  <c:v>83.5117559236492</c:v>
                </c:pt>
                <c:pt idx="22">
                  <c:v>81.7853960554351</c:v>
                </c:pt>
                <c:pt idx="23">
                  <c:v>82.0101677874986</c:v>
                </c:pt>
                <c:pt idx="24">
                  <c:v>80.3212485396969</c:v>
                </c:pt>
                <c:pt idx="25">
                  <c:v>81.9923687429691</c:v>
                </c:pt>
                <c:pt idx="26">
                  <c:v>83.5980714480609</c:v>
                </c:pt>
                <c:pt idx="27">
                  <c:v>83.9654988572634</c:v>
                </c:pt>
                <c:pt idx="28">
                  <c:v>85.1190225183031</c:v>
                </c:pt>
                <c:pt idx="29">
                  <c:v>83.4463892213978</c:v>
                </c:pt>
                <c:pt idx="30">
                  <c:v>86.8622545123402</c:v>
                </c:pt>
                <c:pt idx="31">
                  <c:v>87.057541209913</c:v>
                </c:pt>
                <c:pt idx="32">
                  <c:v>86.7180762022597</c:v>
                </c:pt>
                <c:pt idx="33">
                  <c:v>91.923857281781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季度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%</a:t>
                </a:r>
              </a:p>
            </c:rich>
          </c:tx>
          <c:layout/>
          <c:overlay val="0"/>
        </c:title>
        <c:numFmt formatCode="0.00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a611fd2-9ab1-439c-8291-af3653fda21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赫芬达尔指数 HHI 演变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'3-行业集中度CR_HHI'!$E$4</c:f>
              <c:strCache>
                <c:ptCount val="1"/>
                <c:pt idx="0">
                  <c:v>HHI</c:v>
                </c:pt>
              </c:strCache>
            </c:strRef>
          </c:tx>
          <c:spPr>
            <a:ln w="4762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'3-行业集中度CR_HHI'!$A$5:$A$38</c:f>
              <c:strCache>
                <c:ptCount val="34"/>
                <c:pt idx="0">
                  <c:v>2018Q1</c:v>
                </c:pt>
                <c:pt idx="1">
                  <c:v>2018Q2</c:v>
                </c:pt>
                <c:pt idx="2">
                  <c:v>2018Q3</c:v>
                </c:pt>
                <c:pt idx="3">
                  <c:v>2018Q4</c:v>
                </c:pt>
                <c:pt idx="4">
                  <c:v>2019Q1</c:v>
                </c:pt>
                <c:pt idx="5">
                  <c:v>2019Q2</c:v>
                </c:pt>
                <c:pt idx="6">
                  <c:v>2019Q3</c:v>
                </c:pt>
                <c:pt idx="7">
                  <c:v>2019Q4</c:v>
                </c:pt>
                <c:pt idx="8">
                  <c:v>2020Q1</c:v>
                </c:pt>
                <c:pt idx="9">
                  <c:v>2020Q2</c:v>
                </c:pt>
                <c:pt idx="10">
                  <c:v>2020Q3</c:v>
                </c:pt>
                <c:pt idx="11">
                  <c:v>2020Q4</c:v>
                </c:pt>
                <c:pt idx="12">
                  <c:v>2021Q1</c:v>
                </c:pt>
                <c:pt idx="13">
                  <c:v>2021Q2</c:v>
                </c:pt>
                <c:pt idx="14">
                  <c:v>2021Q3</c:v>
                </c:pt>
                <c:pt idx="15">
                  <c:v>2021Q4</c:v>
                </c:pt>
                <c:pt idx="16">
                  <c:v>2022Q1</c:v>
                </c:pt>
                <c:pt idx="17">
                  <c:v>2022Q2</c:v>
                </c:pt>
                <c:pt idx="18">
                  <c:v>2022Q3</c:v>
                </c:pt>
                <c:pt idx="19">
                  <c:v>2022Q4</c:v>
                </c:pt>
                <c:pt idx="20">
                  <c:v>2023Q1</c:v>
                </c:pt>
                <c:pt idx="21">
                  <c:v>2023Q2</c:v>
                </c:pt>
                <c:pt idx="22">
                  <c:v>2023Q3</c:v>
                </c:pt>
                <c:pt idx="23">
                  <c:v>2023Q4</c:v>
                </c:pt>
                <c:pt idx="24">
                  <c:v>2024Q1</c:v>
                </c:pt>
                <c:pt idx="25">
                  <c:v>2024Q2</c:v>
                </c:pt>
                <c:pt idx="26">
                  <c:v>2024Q3</c:v>
                </c:pt>
                <c:pt idx="27">
                  <c:v>2024Q4</c:v>
                </c:pt>
                <c:pt idx="28">
                  <c:v>2025Q1</c:v>
                </c:pt>
                <c:pt idx="29">
                  <c:v>2025Q2</c:v>
                </c:pt>
                <c:pt idx="30">
                  <c:v>2025Q3</c:v>
                </c:pt>
                <c:pt idx="31">
                  <c:v>2025Q4</c:v>
                </c:pt>
                <c:pt idx="32">
                  <c:v>2026Q1</c:v>
                </c:pt>
                <c:pt idx="33">
                  <c:v>2026Q2</c:v>
                </c:pt>
              </c:strCache>
            </c:strRef>
          </c:cat>
          <c:val>
            <c:numRef>
              <c:f>'3-行业集中度CR_HHI'!$E$5:$E$38</c:f>
              <c:numCache>
                <c:formatCode>0.0000</c:formatCode>
                <c:ptCount val="34"/>
                <c:pt idx="0">
                  <c:v>0.0712906436247049</c:v>
                </c:pt>
                <c:pt idx="1">
                  <c:v>0.0894752393290693</c:v>
                </c:pt>
                <c:pt idx="2">
                  <c:v>0.0853214664564027</c:v>
                </c:pt>
                <c:pt idx="3">
                  <c:v>0.0792840903432535</c:v>
                </c:pt>
                <c:pt idx="4">
                  <c:v>0.0945950298898888</c:v>
                </c:pt>
                <c:pt idx="5">
                  <c:v>0.10066231387055</c:v>
                </c:pt>
                <c:pt idx="6">
                  <c:v>0.10318783407018</c:v>
                </c:pt>
                <c:pt idx="7">
                  <c:v>0.0934055227336322</c:v>
                </c:pt>
                <c:pt idx="8">
                  <c:v>0.105027901482201</c:v>
                </c:pt>
                <c:pt idx="9">
                  <c:v>0.134295081992569</c:v>
                </c:pt>
                <c:pt idx="10">
                  <c:v>0.103636586742563</c:v>
                </c:pt>
                <c:pt idx="11">
                  <c:v>0.0972895646682741</c:v>
                </c:pt>
                <c:pt idx="12">
                  <c:v>0.0856342548557112</c:v>
                </c:pt>
                <c:pt idx="13">
                  <c:v>0.11203086583923</c:v>
                </c:pt>
                <c:pt idx="14">
                  <c:v>0.133078360011702</c:v>
                </c:pt>
                <c:pt idx="15">
                  <c:v>0.12005837093012</c:v>
                </c:pt>
                <c:pt idx="16">
                  <c:v>0.121438954609566</c:v>
                </c:pt>
                <c:pt idx="17">
                  <c:v>0.129238066586044</c:v>
                </c:pt>
                <c:pt idx="18">
                  <c:v>0.116681744405055</c:v>
                </c:pt>
                <c:pt idx="19">
                  <c:v>0.124386443558319</c:v>
                </c:pt>
                <c:pt idx="20">
                  <c:v>0.113431317481803</c:v>
                </c:pt>
                <c:pt idx="21">
                  <c:v>0.106101107054568</c:v>
                </c:pt>
                <c:pt idx="22">
                  <c:v>0.099826089596825</c:v>
                </c:pt>
                <c:pt idx="23">
                  <c:v>0.103484329256419</c:v>
                </c:pt>
                <c:pt idx="24">
                  <c:v>0.0917691169329473</c:v>
                </c:pt>
                <c:pt idx="25">
                  <c:v>0.0928165909337021</c:v>
                </c:pt>
                <c:pt idx="26">
                  <c:v>0.0973546386506548</c:v>
                </c:pt>
                <c:pt idx="27">
                  <c:v>0.102128838988967</c:v>
                </c:pt>
                <c:pt idx="28">
                  <c:v>0.106833884806439</c:v>
                </c:pt>
                <c:pt idx="29">
                  <c:v>0.103964282122202</c:v>
                </c:pt>
                <c:pt idx="30">
                  <c:v>0.12291619837844</c:v>
                </c:pt>
                <c:pt idx="31">
                  <c:v>0.112419266109181</c:v>
                </c:pt>
                <c:pt idx="32">
                  <c:v>0.110734422260364</c:v>
                </c:pt>
                <c:pt idx="33">
                  <c:v>0.189711125051407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季度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HHI</a:t>
                </a:r>
              </a:p>
            </c:rich>
          </c:tx>
          <c:layout/>
          <c:overlay val="0"/>
        </c:title>
        <c:numFmt formatCode="0.00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a4cf653-c903-441d-8086-90b4c43dbf4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抱团股Top20平均持股基金数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'5-个股拥挤度'!$B$4</c:f>
              <c:strCache>
                <c:ptCount val="1"/>
                <c:pt idx="0">
                  <c:v>Top20平均持股基金数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'5-个股拥挤度'!$A$5:$A$38</c:f>
              <c:strCache>
                <c:ptCount val="34"/>
                <c:pt idx="0">
                  <c:v>2018Q1</c:v>
                </c:pt>
                <c:pt idx="1">
                  <c:v>2018Q2</c:v>
                </c:pt>
                <c:pt idx="2">
                  <c:v>2018Q3</c:v>
                </c:pt>
                <c:pt idx="3">
                  <c:v>2018Q4</c:v>
                </c:pt>
                <c:pt idx="4">
                  <c:v>2019Q1</c:v>
                </c:pt>
                <c:pt idx="5">
                  <c:v>2019Q2</c:v>
                </c:pt>
                <c:pt idx="6">
                  <c:v>2019Q3</c:v>
                </c:pt>
                <c:pt idx="7">
                  <c:v>2019Q4</c:v>
                </c:pt>
                <c:pt idx="8">
                  <c:v>2020Q1</c:v>
                </c:pt>
                <c:pt idx="9">
                  <c:v>2020Q2</c:v>
                </c:pt>
                <c:pt idx="10">
                  <c:v>2020Q3</c:v>
                </c:pt>
                <c:pt idx="11">
                  <c:v>2020Q4</c:v>
                </c:pt>
                <c:pt idx="12">
                  <c:v>2021Q1</c:v>
                </c:pt>
                <c:pt idx="13">
                  <c:v>2021Q2</c:v>
                </c:pt>
                <c:pt idx="14">
                  <c:v>2021Q3</c:v>
                </c:pt>
                <c:pt idx="15">
                  <c:v>2021Q4</c:v>
                </c:pt>
                <c:pt idx="16">
                  <c:v>2022Q1</c:v>
                </c:pt>
                <c:pt idx="17">
                  <c:v>2022Q2</c:v>
                </c:pt>
                <c:pt idx="18">
                  <c:v>2022Q3</c:v>
                </c:pt>
                <c:pt idx="19">
                  <c:v>2022Q4</c:v>
                </c:pt>
                <c:pt idx="20">
                  <c:v>2023Q1</c:v>
                </c:pt>
                <c:pt idx="21">
                  <c:v>2023Q2</c:v>
                </c:pt>
                <c:pt idx="22">
                  <c:v>2023Q3</c:v>
                </c:pt>
                <c:pt idx="23">
                  <c:v>2023Q4</c:v>
                </c:pt>
                <c:pt idx="24">
                  <c:v>2024Q1</c:v>
                </c:pt>
                <c:pt idx="25">
                  <c:v>2024Q2</c:v>
                </c:pt>
                <c:pt idx="26">
                  <c:v>2024Q3</c:v>
                </c:pt>
                <c:pt idx="27">
                  <c:v>2024Q4</c:v>
                </c:pt>
                <c:pt idx="28">
                  <c:v>2025Q1</c:v>
                </c:pt>
                <c:pt idx="29">
                  <c:v>2025Q2</c:v>
                </c:pt>
                <c:pt idx="30">
                  <c:v>2025Q3</c:v>
                </c:pt>
                <c:pt idx="31">
                  <c:v>2025Q4</c:v>
                </c:pt>
                <c:pt idx="32">
                  <c:v>2026Q1</c:v>
                </c:pt>
                <c:pt idx="33">
                  <c:v>2026Q2</c:v>
                </c:pt>
              </c:strCache>
            </c:strRef>
          </c:cat>
          <c:val>
            <c:numRef>
              <c:f>'5-个股拥挤度'!$B$5:$B$38</c:f>
              <c:numCache>
                <c:formatCode>0.00</c:formatCode>
                <c:ptCount val="34"/>
                <c:pt idx="0">
                  <c:v>25.5</c:v>
                </c:pt>
                <c:pt idx="1">
                  <c:v>28.4</c:v>
                </c:pt>
                <c:pt idx="2">
                  <c:v>32.2</c:v>
                </c:pt>
                <c:pt idx="3">
                  <c:v>27.4</c:v>
                </c:pt>
                <c:pt idx="4">
                  <c:v>33.5</c:v>
                </c:pt>
                <c:pt idx="5">
                  <c:v>45</c:v>
                </c:pt>
                <c:pt idx="6">
                  <c:v>45.6</c:v>
                </c:pt>
                <c:pt idx="7">
                  <c:v>45.2</c:v>
                </c:pt>
                <c:pt idx="8">
                  <c:v>46</c:v>
                </c:pt>
                <c:pt idx="9">
                  <c:v>52.1</c:v>
                </c:pt>
                <c:pt idx="10">
                  <c:v>58.4</c:v>
                </c:pt>
                <c:pt idx="11">
                  <c:v>68.2</c:v>
                </c:pt>
                <c:pt idx="12">
                  <c:v>70.9</c:v>
                </c:pt>
                <c:pt idx="13">
                  <c:v>73.1</c:v>
                </c:pt>
                <c:pt idx="14">
                  <c:v>77.8</c:v>
                </c:pt>
                <c:pt idx="15">
                  <c:v>77.2</c:v>
                </c:pt>
                <c:pt idx="16">
                  <c:v>80.4</c:v>
                </c:pt>
                <c:pt idx="17">
                  <c:v>84.1</c:v>
                </c:pt>
                <c:pt idx="18">
                  <c:v>77.2</c:v>
                </c:pt>
                <c:pt idx="19">
                  <c:v>76</c:v>
                </c:pt>
                <c:pt idx="20">
                  <c:v>70.4</c:v>
                </c:pt>
                <c:pt idx="21">
                  <c:v>73</c:v>
                </c:pt>
                <c:pt idx="22">
                  <c:v>76.6</c:v>
                </c:pt>
                <c:pt idx="23">
                  <c:v>75.6</c:v>
                </c:pt>
                <c:pt idx="24">
                  <c:v>85.8</c:v>
                </c:pt>
                <c:pt idx="25">
                  <c:v>96.5</c:v>
                </c:pt>
                <c:pt idx="26">
                  <c:v>103.8</c:v>
                </c:pt>
                <c:pt idx="27">
                  <c:v>96</c:v>
                </c:pt>
                <c:pt idx="28">
                  <c:v>90.6</c:v>
                </c:pt>
                <c:pt idx="29">
                  <c:v>83.1</c:v>
                </c:pt>
                <c:pt idx="30">
                  <c:v>99.4</c:v>
                </c:pt>
                <c:pt idx="31">
                  <c:v>104.8</c:v>
                </c:pt>
                <c:pt idx="32">
                  <c:v>100.8</c:v>
                </c:pt>
                <c:pt idx="33">
                  <c:v>122.6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f7a6c6c-858c-41e1-b5bb-d2a5e52e7b4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各类型产品数量分布（2026-09，全市场27991只）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'7-被动vs主动'!$B$4</c:f>
              <c:strCache>
                <c:ptCount val="1"/>
                <c:pt idx="0">
                  <c:v>产品只数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'7-被动vs主动'!$A$5:$A$13</c:f>
              <c:strCache>
                <c:ptCount val="9"/>
                <c:pt idx="0">
                  <c:v>主动混合型</c:v>
                </c:pt>
                <c:pt idx="1">
                  <c:v>债券型</c:v>
                </c:pt>
                <c:pt idx="2">
                  <c:v>被动指数型</c:v>
                </c:pt>
                <c:pt idx="3">
                  <c:v>其他</c:v>
                </c:pt>
                <c:pt idx="4">
                  <c:v>FOF</c:v>
                </c:pt>
                <c:pt idx="5">
                  <c:v>主动股票型</c:v>
                </c:pt>
                <c:pt idx="6">
                  <c:v>货币型</c:v>
                </c:pt>
                <c:pt idx="7">
                  <c:v>QDII</c:v>
                </c:pt>
                <c:pt idx="8">
                  <c:v>REITs</c:v>
                </c:pt>
              </c:strCache>
            </c:strRef>
          </c:cat>
          <c:val>
            <c:numRef>
              <c:f>'7-被动vs主动'!$B$5:$B$13</c:f>
              <c:numCache>
                <c:formatCode>0.00</c:formatCode>
                <c:ptCount val="9"/>
                <c:pt idx="0">
                  <c:v>8248</c:v>
                </c:pt>
                <c:pt idx="1">
                  <c:v>7452</c:v>
                </c:pt>
                <c:pt idx="2">
                  <c:v>6842</c:v>
                </c:pt>
                <c:pt idx="3">
                  <c:v>1548</c:v>
                </c:pt>
                <c:pt idx="4">
                  <c:v>1370</c:v>
                </c:pt>
                <c:pt idx="5">
                  <c:v>1145</c:v>
                </c:pt>
                <c:pt idx="6">
                  <c:v>977</c:v>
                </c:pt>
                <c:pt idx="7">
                  <c:v>306</c:v>
                </c:pt>
                <c:pt idx="8">
                  <c:v>103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342af23-dfec-4c89-bb15-0418f4cf5c4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489585</xdr:colOff>
      <xdr:row>7</xdr:row>
      <xdr:rowOff>19050</xdr:rowOff>
    </xdr:from>
    <xdr:ext cx="8629650" cy="3937635"/>
    <xdr:graphicFrame>
      <xdr:nvGraphicFramePr>
        <xdr:cNvPr id="2" name="Chart 1"/>
        <xdr:cNvGraphicFramePr/>
      </xdr:nvGraphicFramePr>
      <xdr:xfrm>
        <a:off x="5239385" y="1390650"/>
        <a:ext cx="8629650" cy="3937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0</xdr:colOff>
      <xdr:row>3</xdr:row>
      <xdr:rowOff>0</xdr:rowOff>
    </xdr:from>
    <xdr:ext cx="7200000" cy="3132050"/>
    <xdr:graphicFrame>
      <xdr:nvGraphicFramePr>
        <xdr:cNvPr id="3" name="Chart 1"/>
        <xdr:cNvGraphicFramePr/>
      </xdr:nvGraphicFramePr>
      <xdr:xfrm>
        <a:off x="8870950" y="635000"/>
        <a:ext cx="7199630" cy="3131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23</xdr:row>
      <xdr:rowOff>0</xdr:rowOff>
    </xdr:from>
    <xdr:ext cx="7200000" cy="3119350"/>
    <xdr:graphicFrame>
      <xdr:nvGraphicFramePr>
        <xdr:cNvPr id="4" name="Chart 2"/>
        <xdr:cNvGraphicFramePr/>
      </xdr:nvGraphicFramePr>
      <xdr:xfrm>
        <a:off x="8870950" y="4318000"/>
        <a:ext cx="7199630" cy="3119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260350</xdr:colOff>
      <xdr:row>3</xdr:row>
      <xdr:rowOff>0</xdr:rowOff>
    </xdr:from>
    <xdr:ext cx="7200000" cy="2968900"/>
    <xdr:graphicFrame>
      <xdr:nvGraphicFramePr>
        <xdr:cNvPr id="5" name="Chart 1"/>
        <xdr:cNvGraphicFramePr/>
      </xdr:nvGraphicFramePr>
      <xdr:xfrm>
        <a:off x="8432800" y="635000"/>
        <a:ext cx="7199630" cy="2968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850900</xdr:colOff>
      <xdr:row>16</xdr:row>
      <xdr:rowOff>50800</xdr:rowOff>
    </xdr:from>
    <xdr:ext cx="7200000" cy="2753000"/>
    <xdr:graphicFrame>
      <xdr:nvGraphicFramePr>
        <xdr:cNvPr id="2" name="Chart 1"/>
        <xdr:cNvGraphicFramePr/>
      </xdr:nvGraphicFramePr>
      <xdr:xfrm>
        <a:off x="850900" y="3060700"/>
        <a:ext cx="7199630" cy="2752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8"/>
  <sheetViews>
    <sheetView tabSelected="1" workbookViewId="0">
      <pane ySplit="4" topLeftCell="A5" activePane="bottomLeft" state="frozen"/>
      <selection/>
      <selection pane="bottomLeft" activeCell="D86" sqref="D86"/>
    </sheetView>
  </sheetViews>
  <sheetFormatPr defaultColWidth="9" defaultRowHeight="14" outlineLevelCol="3"/>
  <cols>
    <col min="1" max="1" width="14" customWidth="1"/>
    <col min="2" max="4" width="18" customWidth="1"/>
  </cols>
  <sheetData>
    <row r="1" ht="22" customHeight="1" spans="1:4">
      <c r="A1" s="1" t="s">
        <v>0</v>
      </c>
    </row>
    <row r="2" spans="1:4">
      <c r="A2" s="2" t="s">
        <v>1</v>
      </c>
    </row>
    <row r="4" ht="14.5" spans="1:4">
      <c r="A4" s="3" t="s">
        <v>2</v>
      </c>
      <c r="B4" s="3" t="s">
        <v>3</v>
      </c>
      <c r="C4" s="3" t="s">
        <v>4</v>
      </c>
      <c r="D4" s="3" t="s">
        <v>5</v>
      </c>
    </row>
    <row r="5" ht="14.5" spans="1:4">
      <c r="A5" s="6" t="s">
        <v>6</v>
      </c>
      <c r="B5" s="12">
        <v>228</v>
      </c>
      <c r="C5" s="12">
        <v>4554.92</v>
      </c>
      <c r="D5" s="12">
        <v>4964.93</v>
      </c>
    </row>
    <row r="6" ht="14.5" spans="1:4">
      <c r="A6" s="6" t="s">
        <v>7</v>
      </c>
      <c r="B6" s="12">
        <v>266</v>
      </c>
      <c r="C6" s="12">
        <v>4399.2</v>
      </c>
      <c r="D6" s="12">
        <v>5139.02</v>
      </c>
    </row>
    <row r="7" ht="14.5" spans="1:4">
      <c r="A7" s="6" t="s">
        <v>8</v>
      </c>
      <c r="B7" s="12">
        <v>279</v>
      </c>
      <c r="C7" s="12">
        <v>4329.18</v>
      </c>
      <c r="D7" s="12">
        <v>5147.84</v>
      </c>
    </row>
    <row r="8" ht="14.5" spans="1:4">
      <c r="A8" s="6" t="s">
        <v>9</v>
      </c>
      <c r="B8" s="12">
        <v>321</v>
      </c>
      <c r="C8" s="12">
        <v>6261.97</v>
      </c>
      <c r="D8" s="12">
        <v>8574.48</v>
      </c>
    </row>
    <row r="9" ht="14.5" spans="1:4">
      <c r="A9" s="6" t="s">
        <v>10</v>
      </c>
      <c r="B9" s="12">
        <v>325</v>
      </c>
      <c r="C9" s="12">
        <v>7544.45</v>
      </c>
      <c r="D9" s="12">
        <v>10559.98</v>
      </c>
    </row>
    <row r="10" ht="14.5" spans="1:4">
      <c r="A10" s="6" t="s">
        <v>11</v>
      </c>
      <c r="B10" s="12">
        <v>348</v>
      </c>
      <c r="C10" s="12">
        <v>12671.17</v>
      </c>
      <c r="D10" s="12">
        <v>18234.54</v>
      </c>
    </row>
    <row r="11" ht="14.5" spans="1:4">
      <c r="A11" s="6" t="s">
        <v>12</v>
      </c>
      <c r="B11" s="12">
        <v>355</v>
      </c>
      <c r="C11" s="12">
        <v>18341.21</v>
      </c>
      <c r="D11" s="12">
        <v>30439.09</v>
      </c>
    </row>
    <row r="12" ht="14.5" spans="1:4">
      <c r="A12" s="6" t="s">
        <v>13</v>
      </c>
      <c r="B12" s="12">
        <v>367</v>
      </c>
      <c r="C12" s="12">
        <v>22415.78</v>
      </c>
      <c r="D12" s="12">
        <v>33334.38</v>
      </c>
    </row>
    <row r="13" ht="14.5" spans="1:4">
      <c r="A13" s="6" t="s">
        <v>14</v>
      </c>
      <c r="B13" s="12">
        <v>369</v>
      </c>
      <c r="C13" s="12">
        <v>22758.93</v>
      </c>
      <c r="D13" s="12">
        <v>26472.84</v>
      </c>
    </row>
    <row r="14" ht="14.5" spans="1:4">
      <c r="A14" s="6" t="s">
        <v>15</v>
      </c>
      <c r="B14" s="12">
        <v>419</v>
      </c>
      <c r="C14" s="12">
        <v>22943.79</v>
      </c>
      <c r="D14" s="12">
        <v>21783.86</v>
      </c>
    </row>
    <row r="15" ht="14.5" spans="1:4">
      <c r="A15" s="6" t="s">
        <v>16</v>
      </c>
      <c r="B15" s="12">
        <v>427</v>
      </c>
      <c r="C15" s="12">
        <v>23106.21</v>
      </c>
      <c r="D15" s="12">
        <v>19329.04</v>
      </c>
    </row>
    <row r="16" ht="14.5" spans="1:4">
      <c r="A16" s="6" t="s">
        <v>17</v>
      </c>
      <c r="B16" s="12">
        <v>474</v>
      </c>
      <c r="C16" s="12">
        <v>25780.79</v>
      </c>
      <c r="D16" s="12">
        <v>21411.05</v>
      </c>
    </row>
    <row r="17" ht="14.5" spans="1:4">
      <c r="A17" s="6" t="s">
        <v>18</v>
      </c>
      <c r="B17" s="12">
        <v>484</v>
      </c>
      <c r="C17" s="12">
        <v>23237.42</v>
      </c>
      <c r="D17" s="12">
        <v>21094.76</v>
      </c>
    </row>
    <row r="18" ht="14.5" spans="1:4">
      <c r="A18" s="6" t="s">
        <v>19</v>
      </c>
      <c r="B18" s="12">
        <v>543</v>
      </c>
      <c r="C18" s="12">
        <v>23091.19</v>
      </c>
      <c r="D18" s="12">
        <v>24066.19</v>
      </c>
    </row>
    <row r="19" ht="14.5" spans="1:4">
      <c r="A19" s="6" t="s">
        <v>20</v>
      </c>
      <c r="B19" s="12">
        <v>565</v>
      </c>
      <c r="C19" s="12">
        <v>22665.1</v>
      </c>
      <c r="D19" s="12">
        <v>23058.25</v>
      </c>
    </row>
    <row r="20" ht="14.5" spans="1:4">
      <c r="A20" s="6" t="s">
        <v>21</v>
      </c>
      <c r="B20" s="12">
        <v>625</v>
      </c>
      <c r="C20" s="12">
        <v>24741.81</v>
      </c>
      <c r="D20" s="12">
        <v>29008.88</v>
      </c>
    </row>
    <row r="21" ht="14.5" spans="1:4">
      <c r="A21" s="6" t="s">
        <v>22</v>
      </c>
      <c r="B21" s="12">
        <v>628</v>
      </c>
      <c r="C21" s="12">
        <v>23356.93</v>
      </c>
      <c r="D21" s="12">
        <v>25496.79</v>
      </c>
    </row>
    <row r="22" ht="14.5" spans="1:4">
      <c r="A22" s="6" t="s">
        <v>23</v>
      </c>
      <c r="B22" s="12">
        <v>697</v>
      </c>
      <c r="C22" s="12">
        <v>24312.57</v>
      </c>
      <c r="D22" s="12">
        <v>22713.49</v>
      </c>
    </row>
    <row r="23" ht="14.5" spans="1:4">
      <c r="A23" s="6" t="s">
        <v>24</v>
      </c>
      <c r="B23" s="12">
        <v>708</v>
      </c>
      <c r="C23" s="12">
        <v>23553.36</v>
      </c>
      <c r="D23" s="12">
        <v>25202.58</v>
      </c>
    </row>
    <row r="24" ht="14.5" spans="1:4">
      <c r="A24" s="6" t="s">
        <v>25</v>
      </c>
      <c r="B24" s="12">
        <v>802</v>
      </c>
      <c r="C24" s="12">
        <v>24535.13</v>
      </c>
      <c r="D24" s="12">
        <v>27758.55</v>
      </c>
    </row>
    <row r="25" ht="14.5" spans="1:4">
      <c r="A25" s="6" t="s">
        <v>26</v>
      </c>
      <c r="B25" s="12">
        <v>828</v>
      </c>
      <c r="C25" s="12">
        <v>23779.15</v>
      </c>
      <c r="D25" s="12">
        <v>26206.27</v>
      </c>
    </row>
    <row r="26" ht="14.5" spans="1:4">
      <c r="A26" s="6" t="s">
        <v>27</v>
      </c>
      <c r="B26" s="12">
        <v>944</v>
      </c>
      <c r="C26" s="12">
        <v>24732.5</v>
      </c>
      <c r="D26" s="12">
        <v>26409.27</v>
      </c>
    </row>
    <row r="27" ht="14.5" spans="1:4">
      <c r="A27" s="6" t="s">
        <v>28</v>
      </c>
      <c r="B27" s="12">
        <v>959</v>
      </c>
      <c r="C27" s="12">
        <v>24513.62</v>
      </c>
      <c r="D27" s="12">
        <v>23441.7</v>
      </c>
    </row>
    <row r="28" ht="14.5" spans="1:4">
      <c r="A28" s="6" t="s">
        <v>29</v>
      </c>
      <c r="B28" s="12">
        <v>1079</v>
      </c>
      <c r="C28" s="12">
        <v>26962.61</v>
      </c>
      <c r="D28" s="12">
        <v>25534.51</v>
      </c>
    </row>
    <row r="29" ht="14.5" spans="1:4">
      <c r="A29" s="6" t="s">
        <v>30</v>
      </c>
      <c r="B29" s="12">
        <v>1093</v>
      </c>
      <c r="C29" s="12">
        <v>26426.41</v>
      </c>
      <c r="D29" s="12">
        <v>25738.72</v>
      </c>
    </row>
    <row r="30" ht="14.5" spans="1:4">
      <c r="A30" s="6" t="s">
        <v>31</v>
      </c>
      <c r="B30" s="12">
        <v>1254</v>
      </c>
      <c r="C30" s="12">
        <v>28401.83</v>
      </c>
      <c r="D30" s="12">
        <v>30002.6</v>
      </c>
    </row>
    <row r="31" ht="14.5" spans="1:4">
      <c r="A31" s="6" t="s">
        <v>32</v>
      </c>
      <c r="B31" s="12">
        <v>1275</v>
      </c>
      <c r="C31" s="12">
        <v>28159.61</v>
      </c>
      <c r="D31" s="12">
        <v>25140.39</v>
      </c>
    </row>
    <row r="32" ht="14.5" spans="1:4">
      <c r="A32" s="6" t="s">
        <v>33</v>
      </c>
      <c r="B32" s="12">
        <v>1391</v>
      </c>
      <c r="C32" s="12">
        <v>30319.83</v>
      </c>
      <c r="D32" s="12">
        <v>28377.72</v>
      </c>
    </row>
    <row r="33" ht="14.5" spans="1:4">
      <c r="A33" s="6" t="s">
        <v>34</v>
      </c>
      <c r="B33" s="12">
        <v>1547</v>
      </c>
      <c r="C33" s="12">
        <v>41580.53</v>
      </c>
      <c r="D33" s="12">
        <v>28701.97</v>
      </c>
    </row>
    <row r="34" ht="14.5" spans="1:4">
      <c r="A34" s="6" t="s">
        <v>35</v>
      </c>
      <c r="B34" s="12">
        <v>1685</v>
      </c>
      <c r="C34" s="12">
        <v>36135.36</v>
      </c>
      <c r="D34" s="12">
        <v>26007.24</v>
      </c>
    </row>
    <row r="35" ht="14.5" spans="1:4">
      <c r="A35" s="6" t="s">
        <v>36</v>
      </c>
      <c r="B35" s="12">
        <v>1836</v>
      </c>
      <c r="C35" s="12">
        <v>45690.14</v>
      </c>
      <c r="D35" s="12">
        <v>29432.96</v>
      </c>
    </row>
    <row r="36" ht="14.5" spans="1:4">
      <c r="A36" s="6" t="s">
        <v>37</v>
      </c>
      <c r="B36" s="12">
        <v>1967</v>
      </c>
      <c r="C36" s="12">
        <v>42618.8</v>
      </c>
      <c r="D36" s="12">
        <v>30687.98</v>
      </c>
    </row>
    <row r="37" ht="14.5" spans="1:4">
      <c r="A37" s="6" t="s">
        <v>38</v>
      </c>
      <c r="B37" s="12">
        <v>2144</v>
      </c>
      <c r="C37" s="12">
        <v>57177.17</v>
      </c>
      <c r="D37" s="12">
        <v>35836.56</v>
      </c>
    </row>
    <row r="38" ht="14.5" spans="1:4">
      <c r="A38" s="6" t="s">
        <v>39</v>
      </c>
      <c r="B38" s="12">
        <v>2238</v>
      </c>
      <c r="C38" s="12">
        <v>57795.6</v>
      </c>
      <c r="D38" s="12">
        <v>37041.45</v>
      </c>
    </row>
    <row r="39" ht="14.5" spans="1:4">
      <c r="A39" s="6" t="s">
        <v>40</v>
      </c>
      <c r="B39" s="12">
        <v>2377</v>
      </c>
      <c r="C39" s="12">
        <v>54459.1</v>
      </c>
      <c r="D39" s="12">
        <v>40215.07</v>
      </c>
    </row>
    <row r="40" ht="14.5" spans="1:4">
      <c r="A40" s="6" t="s">
        <v>41</v>
      </c>
      <c r="B40" s="12">
        <v>2465</v>
      </c>
      <c r="C40" s="12">
        <v>61224.04</v>
      </c>
      <c r="D40" s="12">
        <v>47131.21</v>
      </c>
    </row>
    <row r="41" ht="14.5" spans="1:4">
      <c r="A41" s="6" t="s">
        <v>42</v>
      </c>
      <c r="B41" s="12">
        <v>2659</v>
      </c>
      <c r="C41" s="12">
        <v>80745.7</v>
      </c>
      <c r="D41" s="12">
        <v>55581.83</v>
      </c>
    </row>
    <row r="42" ht="14.5" spans="1:4">
      <c r="A42" s="6" t="s">
        <v>43</v>
      </c>
      <c r="B42" s="12">
        <v>3446</v>
      </c>
      <c r="C42" s="12">
        <v>92273.15</v>
      </c>
      <c r="D42" s="12">
        <v>85210.31</v>
      </c>
    </row>
    <row r="43" ht="14.5" spans="1:4">
      <c r="A43" s="6" t="s">
        <v>44</v>
      </c>
      <c r="B43" s="12">
        <v>3999</v>
      </c>
      <c r="C43" s="12">
        <v>142445.25</v>
      </c>
      <c r="D43" s="12">
        <v>80963.36</v>
      </c>
    </row>
    <row r="44" ht="14.5" spans="1:4">
      <c r="A44" s="6" t="s">
        <v>45</v>
      </c>
      <c r="B44" s="12">
        <v>4206</v>
      </c>
      <c r="C44" s="12">
        <v>122538.8</v>
      </c>
      <c r="D44" s="12">
        <v>97189.87</v>
      </c>
    </row>
    <row r="45" ht="14.5" spans="1:4">
      <c r="A45" s="6" t="s">
        <v>46</v>
      </c>
      <c r="B45" s="12">
        <v>3904</v>
      </c>
      <c r="C45" s="12">
        <v>120386.25</v>
      </c>
      <c r="D45" s="12">
        <v>80894.46</v>
      </c>
    </row>
    <row r="46" ht="14.5" spans="1:4">
      <c r="A46" s="6" t="s">
        <v>47</v>
      </c>
      <c r="B46" s="12">
        <v>4197</v>
      </c>
      <c r="C46" s="12">
        <v>116895.96</v>
      </c>
      <c r="D46" s="12">
        <v>81463.56</v>
      </c>
    </row>
    <row r="47" ht="14.5" spans="1:4">
      <c r="A47" s="6" t="s">
        <v>48</v>
      </c>
      <c r="B47" s="12">
        <v>4481</v>
      </c>
      <c r="C47" s="12">
        <v>123504.99</v>
      </c>
      <c r="D47" s="12">
        <v>91229.05</v>
      </c>
    </row>
    <row r="48" ht="14.5" spans="1:4">
      <c r="A48" s="6" t="s">
        <v>49</v>
      </c>
      <c r="B48" s="12">
        <v>4935</v>
      </c>
      <c r="C48" s="12">
        <v>110135.62</v>
      </c>
      <c r="D48" s="12">
        <v>91304.57</v>
      </c>
    </row>
    <row r="49" ht="14.5" spans="1:4">
      <c r="A49" s="6" t="s">
        <v>50</v>
      </c>
      <c r="B49" s="12">
        <v>5685</v>
      </c>
      <c r="C49" s="12">
        <v>105287.89</v>
      </c>
      <c r="D49" s="12">
        <v>94294.26</v>
      </c>
    </row>
    <row r="50" ht="14.5" spans="1:4">
      <c r="A50" s="6" t="s">
        <v>51</v>
      </c>
      <c r="B50" s="12">
        <v>6123</v>
      </c>
      <c r="C50" s="12">
        <v>117939.41</v>
      </c>
      <c r="D50" s="12">
        <v>103021.09</v>
      </c>
    </row>
    <row r="51" ht="14.5" spans="1:4">
      <c r="A51" s="6" t="s">
        <v>52</v>
      </c>
      <c r="B51" s="12">
        <v>6434</v>
      </c>
      <c r="C51" s="12">
        <v>124703.11</v>
      </c>
      <c r="D51" s="12">
        <v>113655.11</v>
      </c>
    </row>
    <row r="52" ht="14.5" spans="1:4">
      <c r="A52" s="6" t="s">
        <v>53</v>
      </c>
      <c r="B52" s="12">
        <v>6611</v>
      </c>
      <c r="C52" s="12">
        <v>122845.53</v>
      </c>
      <c r="D52" s="12">
        <v>117372.42</v>
      </c>
    </row>
    <row r="53" ht="14.5" spans="1:4">
      <c r="A53" s="6" t="s">
        <v>54</v>
      </c>
      <c r="B53" s="12">
        <v>6888</v>
      </c>
      <c r="C53" s="12">
        <v>135308.83</v>
      </c>
      <c r="D53" s="12">
        <v>125267.43</v>
      </c>
    </row>
    <row r="54" ht="14.5" spans="1:4">
      <c r="A54" s="6" t="s">
        <v>55</v>
      </c>
      <c r="B54" s="12">
        <v>7062</v>
      </c>
      <c r="C54" s="12">
        <v>140213.37</v>
      </c>
      <c r="D54" s="12">
        <v>128856.37</v>
      </c>
    </row>
    <row r="55" ht="14.5" spans="1:4">
      <c r="A55" s="6" t="s">
        <v>56</v>
      </c>
      <c r="B55" s="12">
        <v>7150</v>
      </c>
      <c r="C55" s="12">
        <v>147548.55</v>
      </c>
      <c r="D55" s="12">
        <v>134926.15</v>
      </c>
    </row>
    <row r="56" ht="14.5" spans="1:4">
      <c r="A56" s="6" t="s">
        <v>57</v>
      </c>
      <c r="B56" s="12">
        <v>7292</v>
      </c>
      <c r="C56" s="12">
        <v>144082.69</v>
      </c>
      <c r="D56" s="12">
        <v>129788.1</v>
      </c>
    </row>
    <row r="57" ht="14.5" spans="1:4">
      <c r="A57" s="6" t="s">
        <v>58</v>
      </c>
      <c r="B57" s="12">
        <v>7617</v>
      </c>
      <c r="C57" s="12">
        <v>149714.33</v>
      </c>
      <c r="D57" s="12">
        <v>138625.5</v>
      </c>
    </row>
    <row r="58" ht="14.5" spans="1:4">
      <c r="A58" s="6" t="s">
        <v>59</v>
      </c>
      <c r="B58" s="12">
        <v>7971</v>
      </c>
      <c r="C58" s="12">
        <v>147743.76</v>
      </c>
      <c r="D58" s="12">
        <v>134726.87</v>
      </c>
    </row>
    <row r="59" ht="14.5" spans="1:4">
      <c r="A59" s="6" t="s">
        <v>60</v>
      </c>
      <c r="B59" s="12">
        <v>8287</v>
      </c>
      <c r="C59" s="12">
        <v>144399.97</v>
      </c>
      <c r="D59" s="12">
        <v>137645.67</v>
      </c>
    </row>
    <row r="60" ht="14.5" spans="1:4">
      <c r="A60" s="6" t="s">
        <v>61</v>
      </c>
      <c r="B60" s="12">
        <v>8700</v>
      </c>
      <c r="C60" s="12">
        <v>148698.06</v>
      </c>
      <c r="D60" s="12">
        <v>145553.53</v>
      </c>
    </row>
    <row r="61" ht="14.5" spans="1:4">
      <c r="A61" s="6" t="s">
        <v>62</v>
      </c>
      <c r="B61" s="12">
        <v>9197</v>
      </c>
      <c r="C61" s="12">
        <v>170441.67</v>
      </c>
      <c r="D61" s="12">
        <v>166785.71</v>
      </c>
    </row>
    <row r="62" ht="14.5" spans="1:4">
      <c r="A62" s="6" t="s">
        <v>63</v>
      </c>
      <c r="B62" s="12">
        <v>9762</v>
      </c>
      <c r="C62" s="12">
        <v>161729.21</v>
      </c>
      <c r="D62" s="12">
        <v>169407.63</v>
      </c>
    </row>
    <row r="63" ht="14.5" spans="1:4">
      <c r="A63" s="6" t="s">
        <v>64</v>
      </c>
      <c r="B63" s="12">
        <v>10309</v>
      </c>
      <c r="C63" s="12">
        <v>163595.86</v>
      </c>
      <c r="D63" s="12">
        <v>177204.66</v>
      </c>
    </row>
    <row r="64" ht="14.5" spans="1:4">
      <c r="A64" s="6" t="s">
        <v>65</v>
      </c>
      <c r="B64" s="12">
        <v>10852</v>
      </c>
      <c r="C64" s="12">
        <v>177921.66</v>
      </c>
      <c r="D64" s="12">
        <v>200710.77</v>
      </c>
    </row>
    <row r="65" ht="14.5" spans="1:4">
      <c r="A65" s="6" t="s">
        <v>66</v>
      </c>
      <c r="B65" s="12">
        <v>11297</v>
      </c>
      <c r="C65" s="12">
        <v>197837.33</v>
      </c>
      <c r="D65" s="12">
        <v>214310.09</v>
      </c>
    </row>
    <row r="66" ht="14.5" spans="1:4">
      <c r="A66" s="6" t="s">
        <v>67</v>
      </c>
      <c r="B66" s="12">
        <v>11975</v>
      </c>
      <c r="C66" s="12">
        <v>203889.82</v>
      </c>
      <c r="D66" s="12">
        <v>229216.79</v>
      </c>
    </row>
    <row r="67" ht="14.5" spans="1:4">
      <c r="A67" s="6" t="s">
        <v>68</v>
      </c>
      <c r="B67" s="12">
        <v>12825</v>
      </c>
      <c r="C67" s="12">
        <v>213635.51</v>
      </c>
      <c r="D67" s="12">
        <v>237506.7</v>
      </c>
    </row>
    <row r="68" ht="14.5" spans="1:4">
      <c r="A68" s="6" t="s">
        <v>69</v>
      </c>
      <c r="B68" s="12">
        <v>13725</v>
      </c>
      <c r="C68" s="12">
        <v>223856.06</v>
      </c>
      <c r="D68" s="12">
        <v>253027.48</v>
      </c>
    </row>
    <row r="69" ht="14.5" spans="1:4">
      <c r="A69" s="6" t="s">
        <v>70</v>
      </c>
      <c r="B69" s="12">
        <v>14871</v>
      </c>
      <c r="C69" s="12">
        <v>237783.7</v>
      </c>
      <c r="D69" s="12">
        <v>251343.65</v>
      </c>
    </row>
    <row r="70" ht="14.5" spans="1:4">
      <c r="A70" s="6" t="s">
        <v>71</v>
      </c>
      <c r="B70" s="12">
        <v>15535</v>
      </c>
      <c r="C70" s="12">
        <v>246575.24</v>
      </c>
      <c r="D70" s="12">
        <v>266943.46</v>
      </c>
    </row>
    <row r="71" ht="14.5" spans="1:4">
      <c r="A71" s="6" t="s">
        <v>72</v>
      </c>
      <c r="B71" s="12">
        <v>16180</v>
      </c>
      <c r="C71" s="12">
        <v>253797.69</v>
      </c>
      <c r="D71" s="12">
        <v>264219.51</v>
      </c>
    </row>
    <row r="72" ht="14.5" spans="1:4">
      <c r="A72" s="6" t="s">
        <v>73</v>
      </c>
      <c r="B72" s="12">
        <v>16884</v>
      </c>
      <c r="C72" s="12">
        <v>246705.41</v>
      </c>
      <c r="D72" s="12">
        <v>258154.92</v>
      </c>
    </row>
    <row r="73" ht="14.5" spans="1:4">
      <c r="A73" s="6" t="s">
        <v>74</v>
      </c>
      <c r="B73" s="12">
        <v>17531</v>
      </c>
      <c r="C73" s="12">
        <v>251252.77</v>
      </c>
      <c r="D73" s="12">
        <v>264781.11</v>
      </c>
    </row>
    <row r="74" ht="14.5" spans="1:4">
      <c r="A74" s="6" t="s">
        <v>75</v>
      </c>
      <c r="B74" s="12">
        <v>18130</v>
      </c>
      <c r="C74" s="12">
        <v>264484.83</v>
      </c>
      <c r="D74" s="12">
        <v>276121.28</v>
      </c>
    </row>
    <row r="75" ht="14.5" spans="1:4">
      <c r="A75" s="6" t="s">
        <v>76</v>
      </c>
      <c r="B75" s="12">
        <v>18785</v>
      </c>
      <c r="C75" s="12">
        <v>264152.55</v>
      </c>
      <c r="D75" s="12">
        <v>273521.02</v>
      </c>
    </row>
    <row r="76" ht="14.5" spans="1:4">
      <c r="A76" s="6" t="s">
        <v>77</v>
      </c>
      <c r="B76" s="12">
        <v>19421</v>
      </c>
      <c r="C76" s="12">
        <v>267360.11</v>
      </c>
      <c r="D76" s="12">
        <v>274206.85</v>
      </c>
    </row>
    <row r="77" ht="14.5" spans="1:4">
      <c r="A77" s="6" t="s">
        <v>78</v>
      </c>
      <c r="B77" s="12">
        <v>20200</v>
      </c>
      <c r="C77" s="12">
        <v>282781.33</v>
      </c>
      <c r="D77" s="12">
        <v>290815.24</v>
      </c>
    </row>
    <row r="78" ht="14.5" spans="1:4">
      <c r="A78" s="6" t="s">
        <v>79</v>
      </c>
      <c r="B78" s="12">
        <v>20835</v>
      </c>
      <c r="C78" s="12">
        <v>300552.12</v>
      </c>
      <c r="D78" s="12">
        <v>309619.2</v>
      </c>
    </row>
    <row r="79" ht="14.5" spans="1:4">
      <c r="A79" s="6" t="s">
        <v>80</v>
      </c>
      <c r="B79" s="12">
        <v>21438</v>
      </c>
      <c r="C79" s="12">
        <v>298148.57</v>
      </c>
      <c r="D79" s="12">
        <v>320523.89</v>
      </c>
    </row>
    <row r="80" ht="14.5" spans="1:4">
      <c r="A80" s="6" t="s">
        <v>81</v>
      </c>
      <c r="B80" s="12">
        <v>22067</v>
      </c>
      <c r="C80" s="12">
        <v>304939.87</v>
      </c>
      <c r="D80" s="12">
        <v>326930.94</v>
      </c>
    </row>
    <row r="81" ht="14.5" spans="1:4">
      <c r="A81" s="6" t="s">
        <v>82</v>
      </c>
      <c r="B81" s="12">
        <v>22620</v>
      </c>
      <c r="C81" s="12">
        <v>297589.25</v>
      </c>
      <c r="D81" s="12">
        <v>320568.84</v>
      </c>
    </row>
    <row r="82" ht="14.5" spans="1:4">
      <c r="A82" s="6" t="s">
        <v>83</v>
      </c>
      <c r="B82" s="12">
        <v>23291</v>
      </c>
      <c r="C82" s="12">
        <v>313759.58</v>
      </c>
      <c r="D82" s="12">
        <v>344910.84</v>
      </c>
    </row>
    <row r="83" ht="14.5" spans="1:4">
      <c r="A83" s="6" t="s">
        <v>84</v>
      </c>
      <c r="B83" s="12">
        <v>24013</v>
      </c>
      <c r="C83" s="12">
        <v>314070.01</v>
      </c>
      <c r="D83" s="12">
        <v>364586.45</v>
      </c>
    </row>
    <row r="84" ht="14.5" spans="1:4">
      <c r="A84" s="6" t="s">
        <v>85</v>
      </c>
      <c r="B84" s="12">
        <v>24685</v>
      </c>
      <c r="C84" s="12">
        <v>323350.89</v>
      </c>
      <c r="D84" s="12">
        <v>376850.21</v>
      </c>
    </row>
    <row r="85" ht="14.5" spans="1:4">
      <c r="A85" s="6" t="s">
        <v>86</v>
      </c>
      <c r="B85" s="12">
        <v>25324</v>
      </c>
      <c r="C85" s="12">
        <v>330670.72</v>
      </c>
      <c r="D85" s="12">
        <v>373482.35</v>
      </c>
    </row>
    <row r="86" ht="14.5" spans="1:4">
      <c r="A86" s="6" t="s">
        <v>87</v>
      </c>
      <c r="B86" s="12">
        <v>25993</v>
      </c>
      <c r="C86" s="12">
        <v>333140.89</v>
      </c>
      <c r="D86" s="12">
        <v>396907.64</v>
      </c>
    </row>
    <row r="88" spans="1:4">
      <c r="A88" s="2" t="s">
        <v>88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0"/>
  <sheetViews>
    <sheetView zoomScale="80" zoomScaleNormal="80" workbookViewId="0">
      <selection activeCell="A38" sqref="$A38:$XFD38"/>
    </sheetView>
  </sheetViews>
  <sheetFormatPr defaultColWidth="9" defaultRowHeight="14"/>
  <cols>
    <col min="1" max="32" width="10" customWidth="1"/>
  </cols>
  <sheetData>
    <row r="1" ht="22" customHeight="1" spans="1:32">
      <c r="A1" s="1" t="s">
        <v>89</v>
      </c>
    </row>
    <row r="2" spans="1:32">
      <c r="A2" s="2" t="s">
        <v>90</v>
      </c>
    </row>
    <row r="4" ht="14.5" spans="1:32">
      <c r="A4" s="3" t="s">
        <v>91</v>
      </c>
      <c r="B4" s="3" t="s">
        <v>92</v>
      </c>
      <c r="C4" s="3" t="s">
        <v>93</v>
      </c>
      <c r="D4" s="3" t="s">
        <v>94</v>
      </c>
      <c r="E4" s="3" t="s">
        <v>95</v>
      </c>
      <c r="F4" s="3" t="s">
        <v>96</v>
      </c>
      <c r="G4" s="3" t="s">
        <v>97</v>
      </c>
      <c r="H4" s="3" t="s">
        <v>98</v>
      </c>
      <c r="I4" s="3" t="s">
        <v>99</v>
      </c>
      <c r="J4" s="3" t="s">
        <v>100</v>
      </c>
      <c r="K4" s="3" t="s">
        <v>101</v>
      </c>
      <c r="L4" s="3" t="s">
        <v>102</v>
      </c>
      <c r="M4" s="3" t="s">
        <v>103</v>
      </c>
      <c r="N4" s="3" t="s">
        <v>104</v>
      </c>
      <c r="O4" s="3" t="s">
        <v>105</v>
      </c>
      <c r="P4" s="3" t="s">
        <v>106</v>
      </c>
      <c r="Q4" s="3" t="s">
        <v>107</v>
      </c>
      <c r="R4" s="3" t="s">
        <v>108</v>
      </c>
      <c r="S4" s="3" t="s">
        <v>109</v>
      </c>
      <c r="T4" s="3" t="s">
        <v>110</v>
      </c>
      <c r="U4" s="3" t="s">
        <v>111</v>
      </c>
      <c r="V4" s="3" t="s">
        <v>112</v>
      </c>
      <c r="W4" s="3" t="s">
        <v>113</v>
      </c>
      <c r="X4" s="3" t="s">
        <v>114</v>
      </c>
      <c r="Y4" s="3" t="s">
        <v>115</v>
      </c>
      <c r="Z4" s="3" t="s">
        <v>116</v>
      </c>
      <c r="AA4" s="3" t="s">
        <v>117</v>
      </c>
      <c r="AB4" s="3" t="s">
        <v>118</v>
      </c>
      <c r="AC4" s="3" t="s">
        <v>119</v>
      </c>
      <c r="AD4" s="3" t="s">
        <v>120</v>
      </c>
      <c r="AE4" s="3" t="s">
        <v>121</v>
      </c>
      <c r="AF4" s="3" t="s">
        <v>122</v>
      </c>
    </row>
    <row r="5" ht="14.5" spans="1:32">
      <c r="A5" s="6" t="s">
        <v>123</v>
      </c>
      <c r="B5" s="8">
        <v>1.11000249028449</v>
      </c>
      <c r="C5" s="8">
        <v>1.03757174608093</v>
      </c>
      <c r="D5" s="8">
        <v>0.34011585751162</v>
      </c>
      <c r="E5" s="8">
        <v>5.84545836766446</v>
      </c>
      <c r="F5" s="8">
        <v>6.27675543261032</v>
      </c>
      <c r="G5" s="8">
        <v>1.90070427290305</v>
      </c>
      <c r="H5" s="8">
        <v>9.0691979654333</v>
      </c>
      <c r="I5" s="8">
        <v>9.80876996774533</v>
      </c>
      <c r="J5" s="8">
        <v>0.968216961683141</v>
      </c>
      <c r="K5" s="8">
        <v>2.84674124020478</v>
      </c>
      <c r="L5" s="8">
        <v>15.6018010794934</v>
      </c>
      <c r="M5" s="8">
        <v>1.22890217559361</v>
      </c>
      <c r="N5" s="8">
        <v>1.2773301754921</v>
      </c>
      <c r="O5" s="8">
        <v>2.28058461582097</v>
      </c>
      <c r="P5" s="8">
        <v>1.01565059993193</v>
      </c>
      <c r="Q5" s="8">
        <v>0.230592558977747</v>
      </c>
      <c r="R5" s="8">
        <v>6.69531478027122</v>
      </c>
      <c r="S5" s="8">
        <v>4.10997596966124</v>
      </c>
      <c r="T5" s="8">
        <v>0</v>
      </c>
      <c r="U5" s="8">
        <v>2.45867238454927</v>
      </c>
      <c r="V5" s="8">
        <v>0.4649465034449</v>
      </c>
      <c r="W5" s="8">
        <v>8.2655513684613</v>
      </c>
      <c r="X5" s="8">
        <v>2.10110243046329</v>
      </c>
      <c r="Y5" s="8">
        <v>0.68771502573956</v>
      </c>
      <c r="Z5" s="8">
        <v>5.3342676710259</v>
      </c>
      <c r="AA5" s="8">
        <v>3.60819280290908</v>
      </c>
      <c r="AB5" s="8">
        <v>1.80264053031798</v>
      </c>
      <c r="AC5" s="8">
        <v>0.20522718804397</v>
      </c>
      <c r="AD5" s="8">
        <v>2.4706318937067</v>
      </c>
      <c r="AE5" s="8">
        <v>0.9478405877773</v>
      </c>
      <c r="AF5" s="8">
        <v>0.0095253561971158</v>
      </c>
    </row>
    <row r="6" ht="14.5" spans="1:32">
      <c r="A6" s="6" t="s">
        <v>124</v>
      </c>
      <c r="B6" s="8">
        <v>0.732939418064222</v>
      </c>
      <c r="C6" s="8">
        <v>1.99607022634876</v>
      </c>
      <c r="D6" s="8">
        <v>0.339425901151445</v>
      </c>
      <c r="E6" s="8">
        <v>4.76579614102738</v>
      </c>
      <c r="F6" s="8">
        <v>5.88210499737229</v>
      </c>
      <c r="G6" s="8">
        <v>1.58828724065372</v>
      </c>
      <c r="H6" s="8">
        <v>9.45829147561176</v>
      </c>
      <c r="I6" s="8">
        <v>13.7798857612626</v>
      </c>
      <c r="J6" s="8">
        <v>1.43651298601895</v>
      </c>
      <c r="K6" s="8">
        <v>2.57945742135334</v>
      </c>
      <c r="L6" s="8">
        <v>19.9608008933236</v>
      </c>
      <c r="M6" s="8">
        <v>1.25771504399005</v>
      </c>
      <c r="N6" s="8">
        <v>1.05769886534353</v>
      </c>
      <c r="O6" s="8">
        <v>1.69431401845891</v>
      </c>
      <c r="P6" s="8">
        <v>1.77485415623412</v>
      </c>
      <c r="Q6" s="8">
        <v>0.207379980831745</v>
      </c>
      <c r="R6" s="8">
        <v>4.0152878889072</v>
      </c>
      <c r="S6" s="8">
        <v>2.59803563315087</v>
      </c>
      <c r="T6" s="8">
        <v>0.007131923440803</v>
      </c>
      <c r="U6" s="8">
        <v>1.13129773115091</v>
      </c>
      <c r="V6" s="8">
        <v>0.335974152781125</v>
      </c>
      <c r="W6" s="8">
        <v>5.58424959949604</v>
      </c>
      <c r="X6" s="8">
        <v>2.20342939628511</v>
      </c>
      <c r="Y6" s="8">
        <v>0.431423669714528</v>
      </c>
      <c r="Z6" s="8">
        <v>7.53033521126087</v>
      </c>
      <c r="AA6" s="8">
        <v>3.57975520159528</v>
      </c>
      <c r="AB6" s="8">
        <v>0.584824823494043</v>
      </c>
      <c r="AC6" s="8">
        <v>0.511586055217876</v>
      </c>
      <c r="AD6" s="8">
        <v>1.78892133522275</v>
      </c>
      <c r="AE6" s="8">
        <v>1.0946599032335</v>
      </c>
      <c r="AF6" s="8">
        <v>0.0915529480027459</v>
      </c>
    </row>
    <row r="7" ht="14.5" spans="1:32">
      <c r="A7" s="6" t="s">
        <v>125</v>
      </c>
      <c r="B7" s="8">
        <v>0.782240603534746</v>
      </c>
      <c r="C7" s="8">
        <v>1.71670516149561</v>
      </c>
      <c r="D7" s="8">
        <v>0.172140733548792</v>
      </c>
      <c r="E7" s="8">
        <v>3.46058002901409</v>
      </c>
      <c r="F7" s="8">
        <v>4.42760986743673</v>
      </c>
      <c r="G7" s="8">
        <v>1.88811093234213</v>
      </c>
      <c r="H7" s="8">
        <v>8.24289899933064</v>
      </c>
      <c r="I7" s="8">
        <v>14.1476399968557</v>
      </c>
      <c r="J7" s="8">
        <v>1.12484109668825</v>
      </c>
      <c r="K7" s="8">
        <v>2.05007549219835</v>
      </c>
      <c r="L7" s="8">
        <v>18.9825890009183</v>
      </c>
      <c r="M7" s="8">
        <v>1.64646223426736</v>
      </c>
      <c r="N7" s="8">
        <v>1.13977364238996</v>
      </c>
      <c r="O7" s="8">
        <v>2.14170543723715</v>
      </c>
      <c r="P7" s="8">
        <v>1.7253228550278</v>
      </c>
      <c r="Q7" s="8">
        <v>0.445811687639214</v>
      </c>
      <c r="R7" s="8">
        <v>6.2451922625775</v>
      </c>
      <c r="S7" s="8">
        <v>5.28819918676367</v>
      </c>
      <c r="T7" s="8">
        <v>0.0087977270216401</v>
      </c>
      <c r="U7" s="8">
        <v>1.33427267651342</v>
      </c>
      <c r="V7" s="8">
        <v>0.481433255882662</v>
      </c>
      <c r="W7" s="8">
        <v>5.64533059638431</v>
      </c>
      <c r="X7" s="8">
        <v>1.636714214465</v>
      </c>
      <c r="Y7" s="8">
        <v>0.561948221503774</v>
      </c>
      <c r="Z7" s="8">
        <v>7.12327845612519</v>
      </c>
      <c r="AA7" s="8">
        <v>2.87424938331272</v>
      </c>
      <c r="AB7" s="8">
        <v>1.42286909902618</v>
      </c>
      <c r="AC7" s="8">
        <v>0.873752649612075</v>
      </c>
      <c r="AD7" s="8">
        <v>1.61980819261274</v>
      </c>
      <c r="AE7" s="8">
        <v>0.735136783378027</v>
      </c>
      <c r="AF7" s="8">
        <v>0.0545095248962788</v>
      </c>
    </row>
    <row r="8" ht="14.5" spans="1:32">
      <c r="A8" s="6" t="s">
        <v>126</v>
      </c>
      <c r="B8" s="8">
        <v>2.0782683020253</v>
      </c>
      <c r="C8" s="8">
        <v>0.86997708059416</v>
      </c>
      <c r="D8" s="8">
        <v>0.154721132337745</v>
      </c>
      <c r="E8" s="8">
        <v>1.11515848427312</v>
      </c>
      <c r="F8" s="8">
        <v>4.89450025698193</v>
      </c>
      <c r="G8" s="8">
        <v>2.05659262677553</v>
      </c>
      <c r="H8" s="8">
        <v>7.14581393083263</v>
      </c>
      <c r="I8" s="8">
        <v>13.0266155007863</v>
      </c>
      <c r="J8" s="8">
        <v>1.0225553974813</v>
      </c>
      <c r="K8" s="8">
        <v>1.82915983010357</v>
      </c>
      <c r="L8" s="8">
        <v>17.0816695782415</v>
      </c>
      <c r="M8" s="8">
        <v>2.14230169830672</v>
      </c>
      <c r="N8" s="8">
        <v>1.15078887520903</v>
      </c>
      <c r="O8" s="8">
        <v>3.50330319061833</v>
      </c>
      <c r="P8" s="8">
        <v>1.59681110514242</v>
      </c>
      <c r="Q8" s="8">
        <v>0.67412812649349</v>
      </c>
      <c r="R8" s="8">
        <v>7.25161633032929</v>
      </c>
      <c r="S8" s="8">
        <v>4.57894261567006</v>
      </c>
      <c r="T8" s="8">
        <v>0.0026936224811635</v>
      </c>
      <c r="U8" s="8">
        <v>0.83776135082773</v>
      </c>
      <c r="V8" s="8">
        <v>0.783526669760293</v>
      </c>
      <c r="W8" s="8">
        <v>8.22767989672828</v>
      </c>
      <c r="X8" s="8">
        <v>2.4906189057227</v>
      </c>
      <c r="Y8" s="8">
        <v>0.712377663560298</v>
      </c>
      <c r="Z8" s="8">
        <v>7.73832600544544</v>
      </c>
      <c r="AA8" s="8">
        <v>2.13170697888271</v>
      </c>
      <c r="AB8" s="8">
        <v>1.974345299164</v>
      </c>
      <c r="AC8" s="8">
        <v>0.922497215798257</v>
      </c>
      <c r="AD8" s="8">
        <v>0.878354875095866</v>
      </c>
      <c r="AE8" s="8">
        <v>0.972692808365382</v>
      </c>
      <c r="AF8" s="8">
        <v>0.154494645965498</v>
      </c>
    </row>
    <row r="9" ht="14.5" spans="1:32">
      <c r="A9" s="6" t="s">
        <v>127</v>
      </c>
      <c r="B9" s="8">
        <v>2.50552901907026</v>
      </c>
      <c r="C9" s="8">
        <v>1.05065680946907</v>
      </c>
      <c r="D9" s="8">
        <v>0.243070344217132</v>
      </c>
      <c r="E9" s="8">
        <v>0.449579345186679</v>
      </c>
      <c r="F9" s="8">
        <v>5.51168021808613</v>
      </c>
      <c r="G9" s="8">
        <v>2.41701193014406</v>
      </c>
      <c r="H9" s="8">
        <v>7.40602332861807</v>
      </c>
      <c r="I9" s="8">
        <v>16.6201956526209</v>
      </c>
      <c r="J9" s="8">
        <v>0.653695486698081</v>
      </c>
      <c r="K9" s="8">
        <v>0.997997716353054</v>
      </c>
      <c r="L9" s="8">
        <v>19.0684144854852</v>
      </c>
      <c r="M9" s="8">
        <v>0.810100946373904</v>
      </c>
      <c r="N9" s="8">
        <v>0.809039844134615</v>
      </c>
      <c r="O9" s="8">
        <v>3.3849934198657</v>
      </c>
      <c r="P9" s="8">
        <v>1.46669420954525</v>
      </c>
      <c r="Q9" s="8">
        <v>0.628602598573334</v>
      </c>
      <c r="R9" s="8">
        <v>5.25176218611041</v>
      </c>
      <c r="S9" s="8">
        <v>5.71530725339871</v>
      </c>
      <c r="T9" s="8">
        <v>0</v>
      </c>
      <c r="U9" s="8">
        <v>0.750873067194834</v>
      </c>
      <c r="V9" s="8">
        <v>0.285502832953062</v>
      </c>
      <c r="W9" s="8">
        <v>7.29840424761678</v>
      </c>
      <c r="X9" s="8">
        <v>1.93542980878012</v>
      </c>
      <c r="Y9" s="8">
        <v>0.724857257751926</v>
      </c>
      <c r="Z9" s="8">
        <v>7.79100267217951</v>
      </c>
      <c r="AA9" s="8">
        <v>2.08231238573376</v>
      </c>
      <c r="AB9" s="8">
        <v>2.53608496522366</v>
      </c>
      <c r="AC9" s="8">
        <v>0.600515197975024</v>
      </c>
      <c r="AD9" s="8">
        <v>0.388048138805061</v>
      </c>
      <c r="AE9" s="8">
        <v>0.489910960012763</v>
      </c>
      <c r="AF9" s="8">
        <v>0.126703671822958</v>
      </c>
    </row>
    <row r="10" ht="14.5" spans="1:32">
      <c r="A10" s="6" t="s">
        <v>128</v>
      </c>
      <c r="B10" s="8">
        <v>1.86064926062705</v>
      </c>
      <c r="C10" s="8">
        <v>1.35053051718268</v>
      </c>
      <c r="D10" s="8">
        <v>0.191238389277517</v>
      </c>
      <c r="E10" s="8">
        <v>1.06058258258312</v>
      </c>
      <c r="F10" s="8">
        <v>5.26727600956227</v>
      </c>
      <c r="G10" s="8">
        <v>2.56025190718908</v>
      </c>
      <c r="H10" s="8">
        <v>8.91206272787288</v>
      </c>
      <c r="I10" s="8">
        <v>20.1097497845361</v>
      </c>
      <c r="J10" s="8">
        <v>0.431108715993394</v>
      </c>
      <c r="K10" s="8">
        <v>0.595585944046474</v>
      </c>
      <c r="L10" s="8">
        <v>17.2979380586352</v>
      </c>
      <c r="M10" s="8">
        <v>0.732111134899575</v>
      </c>
      <c r="N10" s="8">
        <v>0.472711095945096</v>
      </c>
      <c r="O10" s="8">
        <v>2.72137328046335</v>
      </c>
      <c r="P10" s="8">
        <v>2.43938530746425</v>
      </c>
      <c r="Q10" s="8">
        <v>0.768477583120614</v>
      </c>
      <c r="R10" s="8">
        <v>4.85470595682494</v>
      </c>
      <c r="S10" s="8">
        <v>6.18844102814857</v>
      </c>
      <c r="T10" s="8">
        <v>0.0039726259970007</v>
      </c>
      <c r="U10" s="8">
        <v>0.83688757568557</v>
      </c>
      <c r="V10" s="8">
        <v>0.274311622933693</v>
      </c>
      <c r="W10" s="8">
        <v>6.7784099670339</v>
      </c>
      <c r="X10" s="8">
        <v>1.41812055671391</v>
      </c>
      <c r="Y10" s="8">
        <v>0.593683329568936</v>
      </c>
      <c r="Z10" s="8">
        <v>6.95431182814561</v>
      </c>
      <c r="AA10" s="8">
        <v>1.77067593122527</v>
      </c>
      <c r="AB10" s="8">
        <v>2.12287621067545</v>
      </c>
      <c r="AC10" s="8">
        <v>0.372201387264189</v>
      </c>
      <c r="AD10" s="8">
        <v>0.599137066700499</v>
      </c>
      <c r="AE10" s="8">
        <v>0.342165145064831</v>
      </c>
      <c r="AF10" s="8">
        <v>0.119067468619042</v>
      </c>
    </row>
    <row r="11" ht="14.5" spans="1:32">
      <c r="A11" s="6" t="s">
        <v>129</v>
      </c>
      <c r="B11" s="8">
        <v>1.72944888752695</v>
      </c>
      <c r="C11" s="8">
        <v>0.999647173263681</v>
      </c>
      <c r="D11" s="8">
        <v>0.166279387403873</v>
      </c>
      <c r="E11" s="8">
        <v>0.572830036588641</v>
      </c>
      <c r="F11" s="8">
        <v>8.38904882688046</v>
      </c>
      <c r="G11" s="8">
        <v>2.29680276989371</v>
      </c>
      <c r="H11" s="8">
        <v>8.84103512895447</v>
      </c>
      <c r="I11" s="8">
        <v>17.4812973716882</v>
      </c>
      <c r="J11" s="8">
        <v>0.365244877407478</v>
      </c>
      <c r="K11" s="8">
        <v>0.546962594376509</v>
      </c>
      <c r="L11" s="8">
        <v>19.6985934608597</v>
      </c>
      <c r="M11" s="8">
        <v>0.708586284388694</v>
      </c>
      <c r="N11" s="8">
        <v>0.785341703695224</v>
      </c>
      <c r="O11" s="8">
        <v>2.18833107234517</v>
      </c>
      <c r="P11" s="8">
        <v>1.70175185688281</v>
      </c>
      <c r="Q11" s="8">
        <v>1.02298224627558</v>
      </c>
      <c r="R11" s="8">
        <v>5.55079597603291</v>
      </c>
      <c r="S11" s="8">
        <v>4.46605517053082</v>
      </c>
      <c r="T11" s="8">
        <v>0.0669458870944584</v>
      </c>
      <c r="U11" s="8">
        <v>0.714967324125473</v>
      </c>
      <c r="V11" s="8">
        <v>0.418864380405472</v>
      </c>
      <c r="W11" s="8">
        <v>6.92812852378695</v>
      </c>
      <c r="X11" s="8">
        <v>1.36819443240501</v>
      </c>
      <c r="Y11" s="8">
        <v>0.50908613397543</v>
      </c>
      <c r="Z11" s="8">
        <v>7.77761522776525</v>
      </c>
      <c r="AA11" s="8">
        <v>2.28372369387461</v>
      </c>
      <c r="AB11" s="8">
        <v>1.50835734982745</v>
      </c>
      <c r="AC11" s="8">
        <v>0.300981218381325</v>
      </c>
      <c r="AD11" s="8">
        <v>0.237923718517962</v>
      </c>
      <c r="AE11" s="8">
        <v>0.302612305230702</v>
      </c>
      <c r="AF11" s="8">
        <v>0.0715649796150912</v>
      </c>
    </row>
    <row r="12" ht="14.5" spans="1:32">
      <c r="A12" s="6" t="s">
        <v>130</v>
      </c>
      <c r="B12" s="8">
        <v>1.56462677667515</v>
      </c>
      <c r="C12" s="8">
        <v>1.12362586397885</v>
      </c>
      <c r="D12" s="8">
        <v>0.309164041347376</v>
      </c>
      <c r="E12" s="8">
        <v>1.79159649945325</v>
      </c>
      <c r="F12" s="8">
        <v>10.4375243325548</v>
      </c>
      <c r="G12" s="8">
        <v>2.41939761952214</v>
      </c>
      <c r="H12" s="8">
        <v>9.44285206728121</v>
      </c>
      <c r="I12" s="8">
        <v>15.6649532444358</v>
      </c>
      <c r="J12" s="8">
        <v>0.228187698514407</v>
      </c>
      <c r="K12" s="8">
        <v>0.450508919078177</v>
      </c>
      <c r="L12" s="8">
        <v>17.2176515802896</v>
      </c>
      <c r="M12" s="8">
        <v>0.468643727695986</v>
      </c>
      <c r="N12" s="8">
        <v>0.700243911353215</v>
      </c>
      <c r="O12" s="8">
        <v>4.02774961376453</v>
      </c>
      <c r="P12" s="8">
        <v>1.00670360852534</v>
      </c>
      <c r="Q12" s="8">
        <v>1.18394331888238</v>
      </c>
      <c r="R12" s="8">
        <v>5.71262864575451</v>
      </c>
      <c r="S12" s="8">
        <v>3.66821847070665</v>
      </c>
      <c r="T12" s="8">
        <v>0.0966270155067867</v>
      </c>
      <c r="U12" s="8">
        <v>0.709707519716787</v>
      </c>
      <c r="V12" s="8">
        <v>0.435064867951091</v>
      </c>
      <c r="W12" s="8">
        <v>8.50199265025256</v>
      </c>
      <c r="X12" s="8">
        <v>1.9568898761421</v>
      </c>
      <c r="Y12" s="8">
        <v>0.38129864504977</v>
      </c>
      <c r="Z12" s="8">
        <v>5.07907731411735</v>
      </c>
      <c r="AA12" s="8">
        <v>3.3161228820524</v>
      </c>
      <c r="AB12" s="8">
        <v>1.23940060142075</v>
      </c>
      <c r="AC12" s="8">
        <v>0.369863037080461</v>
      </c>
      <c r="AD12" s="8">
        <v>0.309632819085813</v>
      </c>
      <c r="AE12" s="8">
        <v>0.140042931829435</v>
      </c>
      <c r="AF12" s="8">
        <v>0.0460598999813768</v>
      </c>
    </row>
    <row r="13" ht="14.5" spans="1:32">
      <c r="A13" s="6" t="s">
        <v>131</v>
      </c>
      <c r="B13" s="8">
        <v>3.77375616339733</v>
      </c>
      <c r="C13" s="8">
        <v>0.943497309447965</v>
      </c>
      <c r="D13" s="8">
        <v>0.200025796538871</v>
      </c>
      <c r="E13" s="8">
        <v>3.00563477008087</v>
      </c>
      <c r="F13" s="8">
        <v>9.78168672707354</v>
      </c>
      <c r="G13" s="8">
        <v>2.0146403444759</v>
      </c>
      <c r="H13" s="8">
        <v>5.06278322263059</v>
      </c>
      <c r="I13" s="8">
        <v>13.3807646436937</v>
      </c>
      <c r="J13" s="8">
        <v>0.173349452497235</v>
      </c>
      <c r="K13" s="8">
        <v>0.572405243669085</v>
      </c>
      <c r="L13" s="8">
        <v>23.0270040709612</v>
      </c>
      <c r="M13" s="8">
        <v>0.3236939893501</v>
      </c>
      <c r="N13" s="8">
        <v>0.470786496600257</v>
      </c>
      <c r="O13" s="8">
        <v>2.2293267906617</v>
      </c>
      <c r="P13" s="8">
        <v>0.904908566880959</v>
      </c>
      <c r="Q13" s="8">
        <v>0.934333972737692</v>
      </c>
      <c r="R13" s="8">
        <v>2.68826885187887</v>
      </c>
      <c r="S13" s="8">
        <v>2.74252066666265</v>
      </c>
      <c r="T13" s="8">
        <v>0.103787217189269</v>
      </c>
      <c r="U13" s="8">
        <v>0.850396451911059</v>
      </c>
      <c r="V13" s="8">
        <v>0.325496634007828</v>
      </c>
      <c r="W13" s="8">
        <v>8.57372098308067</v>
      </c>
      <c r="X13" s="8">
        <v>1.92227742073941</v>
      </c>
      <c r="Y13" s="8">
        <v>0.589232336702584</v>
      </c>
      <c r="Z13" s="8">
        <v>8.5007018153762</v>
      </c>
      <c r="AA13" s="8">
        <v>3.6110382811803</v>
      </c>
      <c r="AB13" s="8">
        <v>2.29506498451233</v>
      </c>
      <c r="AC13" s="8">
        <v>0.4020721791838</v>
      </c>
      <c r="AD13" s="8">
        <v>0.0010876129499965</v>
      </c>
      <c r="AE13" s="8">
        <v>0.400480044616898</v>
      </c>
      <c r="AF13" s="8">
        <v>0.19525695931126</v>
      </c>
    </row>
    <row r="14" ht="14.5" spans="1:32">
      <c r="A14" s="6" t="s">
        <v>132</v>
      </c>
      <c r="B14" s="8">
        <v>2.60002182469677</v>
      </c>
      <c r="C14" s="8">
        <v>0.876096255604102</v>
      </c>
      <c r="D14" s="8">
        <v>0.146569632071512</v>
      </c>
      <c r="E14" s="8">
        <v>1.71507255322819</v>
      </c>
      <c r="F14" s="8">
        <v>11.7178042659429</v>
      </c>
      <c r="G14" s="8">
        <v>1.50089749367873</v>
      </c>
      <c r="H14" s="8">
        <v>5.11557699839801</v>
      </c>
      <c r="I14" s="8">
        <v>13.8725714067725</v>
      </c>
      <c r="J14" s="8">
        <v>0.350798820813532</v>
      </c>
      <c r="K14" s="8">
        <v>0.67145830209565</v>
      </c>
      <c r="L14" s="8">
        <v>27.884032736026</v>
      </c>
      <c r="M14" s="8">
        <v>0.119572602446816</v>
      </c>
      <c r="N14" s="8">
        <v>0.681222084262216</v>
      </c>
      <c r="O14" s="8">
        <v>0.791794661384172</v>
      </c>
      <c r="P14" s="8">
        <v>1.98444488791811</v>
      </c>
      <c r="Q14" s="8">
        <v>0.517752087692771</v>
      </c>
      <c r="R14" s="8">
        <v>1.1314396413471</v>
      </c>
      <c r="S14" s="8">
        <v>1.65009884895345</v>
      </c>
      <c r="T14" s="8">
        <v>0</v>
      </c>
      <c r="U14" s="8">
        <v>0.618502678902624</v>
      </c>
      <c r="V14" s="8">
        <v>0.222363371100328</v>
      </c>
      <c r="W14" s="8">
        <v>10.2687856954</v>
      </c>
      <c r="X14" s="8">
        <v>1.73033799713084</v>
      </c>
      <c r="Y14" s="8">
        <v>0.358604630826527</v>
      </c>
      <c r="Z14" s="8">
        <v>7.96834224152429</v>
      </c>
      <c r="AA14" s="8">
        <v>3.54831241846973</v>
      </c>
      <c r="AB14" s="8">
        <v>1.27466664292852</v>
      </c>
      <c r="AC14" s="8">
        <v>0.322996862466862</v>
      </c>
      <c r="AD14" s="8">
        <v>0.017924030373037</v>
      </c>
      <c r="AE14" s="8">
        <v>0.179354449537437</v>
      </c>
      <c r="AF14" s="8">
        <v>0.162583878007346</v>
      </c>
    </row>
    <row r="15" ht="14.5" spans="1:32">
      <c r="A15" s="6" t="s">
        <v>133</v>
      </c>
      <c r="B15" s="8">
        <v>2.66387503739542</v>
      </c>
      <c r="C15" s="8">
        <v>2.21428321561027</v>
      </c>
      <c r="D15" s="8">
        <v>0.104335862806087</v>
      </c>
      <c r="E15" s="8">
        <v>1.71883492856469</v>
      </c>
      <c r="F15" s="8">
        <v>9.44469900819945</v>
      </c>
      <c r="G15" s="8">
        <v>2.87782588139333</v>
      </c>
      <c r="H15" s="8">
        <v>5.80211791943047</v>
      </c>
      <c r="I15" s="8">
        <v>15.2427315427269</v>
      </c>
      <c r="J15" s="8">
        <v>0.141228873246088</v>
      </c>
      <c r="K15" s="8">
        <v>0.942917397079423</v>
      </c>
      <c r="L15" s="8">
        <v>19.8057613995015</v>
      </c>
      <c r="M15" s="8">
        <v>0.249053361983885</v>
      </c>
      <c r="N15" s="8">
        <v>1.74192165508975</v>
      </c>
      <c r="O15" s="8">
        <v>0.597959637969165</v>
      </c>
      <c r="P15" s="8">
        <v>3.00947683062782</v>
      </c>
      <c r="Q15" s="8">
        <v>0.659781201879595</v>
      </c>
      <c r="R15" s="8">
        <v>1.85429770626306</v>
      </c>
      <c r="S15" s="8">
        <v>1.94698495034154</v>
      </c>
      <c r="T15" s="8">
        <v>0</v>
      </c>
      <c r="U15" s="8">
        <v>0.766708863762233</v>
      </c>
      <c r="V15" s="8">
        <v>0.195919756592979</v>
      </c>
      <c r="W15" s="8">
        <v>13.9739051110803</v>
      </c>
      <c r="X15" s="8">
        <v>2.70833106611984</v>
      </c>
      <c r="Y15" s="8">
        <v>1.62710791608398</v>
      </c>
      <c r="Z15" s="8">
        <v>5.63274276489219</v>
      </c>
      <c r="AA15" s="8">
        <v>2.48806550491461</v>
      </c>
      <c r="AB15" s="8">
        <v>0.404745341985672</v>
      </c>
      <c r="AC15" s="8">
        <v>0.23045820587157</v>
      </c>
      <c r="AD15" s="8">
        <v>0.719186524207612</v>
      </c>
      <c r="AE15" s="8">
        <v>0.130759439037629</v>
      </c>
      <c r="AF15" s="8">
        <v>0.103983095342931</v>
      </c>
    </row>
    <row r="16" ht="14.5" spans="1:32">
      <c r="A16" s="6" t="s">
        <v>134</v>
      </c>
      <c r="B16" s="8">
        <v>1.72431422536538</v>
      </c>
      <c r="C16" s="8">
        <v>2.84803055292544</v>
      </c>
      <c r="D16" s="8">
        <v>0.257451903218323</v>
      </c>
      <c r="E16" s="8">
        <v>3.86468642646707</v>
      </c>
      <c r="F16" s="8">
        <v>7.68732439275705</v>
      </c>
      <c r="G16" s="8">
        <v>3.39056756460703</v>
      </c>
      <c r="H16" s="8">
        <v>4.24547087805359</v>
      </c>
      <c r="I16" s="8">
        <v>15.2742395649121</v>
      </c>
      <c r="J16" s="8">
        <v>0.357355630896536</v>
      </c>
      <c r="K16" s="8">
        <v>0.728506728911747</v>
      </c>
      <c r="L16" s="8">
        <v>18.9447612056336</v>
      </c>
      <c r="M16" s="8">
        <v>0.0706068599906485</v>
      </c>
      <c r="N16" s="8">
        <v>1.34015923456439</v>
      </c>
      <c r="O16" s="8">
        <v>0.383710380365823</v>
      </c>
      <c r="P16" s="8">
        <v>1.99972771199292</v>
      </c>
      <c r="Q16" s="8">
        <v>0.475113734754199</v>
      </c>
      <c r="R16" s="8">
        <v>2.56888345023227</v>
      </c>
      <c r="S16" s="8">
        <v>3.0073549776208</v>
      </c>
      <c r="T16" s="8">
        <v>0</v>
      </c>
      <c r="U16" s="8">
        <v>0.879279993919726</v>
      </c>
      <c r="V16" s="8">
        <v>0.531448495245557</v>
      </c>
      <c r="W16" s="8">
        <v>13.531162009228</v>
      </c>
      <c r="X16" s="8">
        <v>3.50335250226731</v>
      </c>
      <c r="Y16" s="8">
        <v>1.97836846249825</v>
      </c>
      <c r="Z16" s="8">
        <v>6.11217805193735</v>
      </c>
      <c r="AA16" s="8">
        <v>1.70560484284647</v>
      </c>
      <c r="AB16" s="8">
        <v>0.325399182569833</v>
      </c>
      <c r="AC16" s="8">
        <v>0.58977363890473</v>
      </c>
      <c r="AD16" s="8">
        <v>1.565274020931</v>
      </c>
      <c r="AE16" s="8">
        <v>0.0485185248480273</v>
      </c>
      <c r="AF16" s="8">
        <v>0.0613748515349091</v>
      </c>
    </row>
    <row r="17" ht="14.5" spans="1:32">
      <c r="A17" s="6" t="s">
        <v>135</v>
      </c>
      <c r="B17" s="8">
        <v>2.6859436504273</v>
      </c>
      <c r="C17" s="8">
        <v>3.24441286552327</v>
      </c>
      <c r="D17" s="8">
        <v>0.197767470232645</v>
      </c>
      <c r="E17" s="8">
        <v>3.60122642170646</v>
      </c>
      <c r="F17" s="8">
        <v>6.17923746556969</v>
      </c>
      <c r="G17" s="8">
        <v>3.80986850867935</v>
      </c>
      <c r="H17" s="8">
        <v>4.04881706546752</v>
      </c>
      <c r="I17" s="8">
        <v>14.1321782257445</v>
      </c>
      <c r="J17" s="8">
        <v>0.543887143996605</v>
      </c>
      <c r="K17" s="8">
        <v>0.806283380035663</v>
      </c>
      <c r="L17" s="8">
        <v>17.5400198796146</v>
      </c>
      <c r="M17" s="8">
        <v>1.5454293673926</v>
      </c>
      <c r="N17" s="8">
        <v>1.06865845193189</v>
      </c>
      <c r="O17" s="8">
        <v>0.519312217746364</v>
      </c>
      <c r="P17" s="8">
        <v>1.58017559887905</v>
      </c>
      <c r="Q17" s="8">
        <v>0.476468440701385</v>
      </c>
      <c r="R17" s="8">
        <v>5.75940874631096</v>
      </c>
      <c r="S17" s="8">
        <v>2.51214613361772</v>
      </c>
      <c r="T17" s="8">
        <v>0.0004688277189702</v>
      </c>
      <c r="U17" s="8">
        <v>1.05944167750742</v>
      </c>
      <c r="V17" s="8">
        <v>0.466073863081762</v>
      </c>
      <c r="W17" s="8">
        <v>12.1123423132878</v>
      </c>
      <c r="X17" s="8">
        <v>3.7696889429267</v>
      </c>
      <c r="Y17" s="8">
        <v>1.68774965036702</v>
      </c>
      <c r="Z17" s="8">
        <v>5.35483021377936</v>
      </c>
      <c r="AA17" s="8">
        <v>1.26162970318471</v>
      </c>
      <c r="AB17" s="8">
        <v>0.500413523925772</v>
      </c>
      <c r="AC17" s="8">
        <v>0.949968050966609</v>
      </c>
      <c r="AD17" s="8">
        <v>2.37195517785016</v>
      </c>
      <c r="AE17" s="8">
        <v>0.0555536139940754</v>
      </c>
      <c r="AF17" s="8">
        <v>0.158643407832172</v>
      </c>
    </row>
    <row r="18" ht="14.5" spans="1:32">
      <c r="A18" s="6" t="s">
        <v>136</v>
      </c>
      <c r="B18" s="8">
        <v>1.75463655043904</v>
      </c>
      <c r="C18" s="8">
        <v>2.4455495483747</v>
      </c>
      <c r="D18" s="8">
        <v>0.20235164029391</v>
      </c>
      <c r="E18" s="8">
        <v>4.41274282944158</v>
      </c>
      <c r="F18" s="8">
        <v>7.94563183321851</v>
      </c>
      <c r="G18" s="8">
        <v>4.29221305235322</v>
      </c>
      <c r="H18" s="8">
        <v>2.83174974877348</v>
      </c>
      <c r="I18" s="8">
        <v>11.9963868333408</v>
      </c>
      <c r="J18" s="8">
        <v>0.382034487087735</v>
      </c>
      <c r="K18" s="8">
        <v>0.544139102804622</v>
      </c>
      <c r="L18" s="8">
        <v>19.913631333307</v>
      </c>
      <c r="M18" s="8">
        <v>0.41776656577986</v>
      </c>
      <c r="N18" s="8">
        <v>0.736883047684887</v>
      </c>
      <c r="O18" s="8">
        <v>0.332297648381948</v>
      </c>
      <c r="P18" s="8">
        <v>0.645148239556147</v>
      </c>
      <c r="Q18" s="8">
        <v>0.527295943092005</v>
      </c>
      <c r="R18" s="8">
        <v>3.89546123512647</v>
      </c>
      <c r="S18" s="8">
        <v>0.968032919062022</v>
      </c>
      <c r="T18" s="8">
        <v>0</v>
      </c>
      <c r="U18" s="8">
        <v>0.774724793610926</v>
      </c>
      <c r="V18" s="8">
        <v>0.53550557758784</v>
      </c>
      <c r="W18" s="8">
        <v>19.9903307171754</v>
      </c>
      <c r="X18" s="8">
        <v>3.05101164473147</v>
      </c>
      <c r="Y18" s="8">
        <v>1.90250483243577</v>
      </c>
      <c r="Z18" s="8">
        <v>4.87961175088571</v>
      </c>
      <c r="AA18" s="8">
        <v>0.887637641821046</v>
      </c>
      <c r="AB18" s="8">
        <v>0.419999619132241</v>
      </c>
      <c r="AC18" s="8">
        <v>0.854501879893627</v>
      </c>
      <c r="AD18" s="8">
        <v>2.149413411309</v>
      </c>
      <c r="AE18" s="8">
        <v>0.062715716449502</v>
      </c>
      <c r="AF18" s="8">
        <v>0.248089856849535</v>
      </c>
    </row>
    <row r="19" ht="14.5" spans="1:32">
      <c r="A19" s="6" t="s">
        <v>137</v>
      </c>
      <c r="B19" s="8">
        <v>1.51327083193945</v>
      </c>
      <c r="C19" s="8">
        <v>2.83820251197808</v>
      </c>
      <c r="D19" s="8">
        <v>0.227097176258215</v>
      </c>
      <c r="E19" s="8">
        <v>7.83531182295873</v>
      </c>
      <c r="F19" s="8">
        <v>7.15408055500699</v>
      </c>
      <c r="G19" s="8">
        <v>3.12590822519327</v>
      </c>
      <c r="H19" s="8">
        <v>1.56827777269814</v>
      </c>
      <c r="I19" s="8">
        <v>10.040135189264</v>
      </c>
      <c r="J19" s="8">
        <v>0.312790400666552</v>
      </c>
      <c r="K19" s="8">
        <v>0.470619846344695</v>
      </c>
      <c r="L19" s="8">
        <v>19.493925294296</v>
      </c>
      <c r="M19" s="8">
        <v>0.216935409652534</v>
      </c>
      <c r="N19" s="8">
        <v>0.69178853160736</v>
      </c>
      <c r="O19" s="8">
        <v>0.486966611493183</v>
      </c>
      <c r="P19" s="8">
        <v>0.646971402508369</v>
      </c>
      <c r="Q19" s="8">
        <v>0.260953786778672</v>
      </c>
      <c r="R19" s="8">
        <v>2.69941737431811</v>
      </c>
      <c r="S19" s="8">
        <v>1.60855007550129</v>
      </c>
      <c r="T19" s="8">
        <v>0.0466104678465835</v>
      </c>
      <c r="U19" s="8">
        <v>0.702373411231106</v>
      </c>
      <c r="V19" s="8">
        <v>0.381614559413145</v>
      </c>
      <c r="W19" s="8">
        <v>25.9479666138434</v>
      </c>
      <c r="X19" s="8">
        <v>1.79810769403275</v>
      </c>
      <c r="Y19" s="8">
        <v>1.9864409073848</v>
      </c>
      <c r="Z19" s="8">
        <v>4.24582094887534</v>
      </c>
      <c r="AA19" s="8">
        <v>0.462539644063128</v>
      </c>
      <c r="AB19" s="8">
        <v>0.400943111090743</v>
      </c>
      <c r="AC19" s="8">
        <v>0.68012240702178</v>
      </c>
      <c r="AD19" s="8">
        <v>1.81132196052283</v>
      </c>
      <c r="AE19" s="8">
        <v>0.188356092211902</v>
      </c>
      <c r="AF19" s="8">
        <v>0.156579363998855</v>
      </c>
    </row>
    <row r="20" ht="14.5" spans="1:32">
      <c r="A20" s="6" t="s">
        <v>138</v>
      </c>
      <c r="B20" s="8">
        <v>1.2658311353638</v>
      </c>
      <c r="C20" s="8">
        <v>2.34064031219574</v>
      </c>
      <c r="D20" s="8">
        <v>0.409351461175935</v>
      </c>
      <c r="E20" s="8">
        <v>6.25659419761496</v>
      </c>
      <c r="F20" s="8">
        <v>9.41889747797642</v>
      </c>
      <c r="G20" s="8">
        <v>4.68602365746261</v>
      </c>
      <c r="H20" s="8">
        <v>1.98942406504376</v>
      </c>
      <c r="I20" s="8">
        <v>10.6175379152785</v>
      </c>
      <c r="J20" s="8">
        <v>0.129154988956359</v>
      </c>
      <c r="K20" s="8">
        <v>0.663678191790857</v>
      </c>
      <c r="L20" s="8">
        <v>17.5905915762487</v>
      </c>
      <c r="M20" s="8">
        <v>0.249386680008172</v>
      </c>
      <c r="N20" s="8">
        <v>0.744374585402481</v>
      </c>
      <c r="O20" s="8">
        <v>0.905766960317142</v>
      </c>
      <c r="P20" s="8">
        <v>0.299932925671914</v>
      </c>
      <c r="Q20" s="8">
        <v>0.230410391653072</v>
      </c>
      <c r="R20" s="8">
        <v>2.33872292883117</v>
      </c>
      <c r="S20" s="8">
        <v>1.70459240318729</v>
      </c>
      <c r="T20" s="8">
        <v>0.0570679779828388</v>
      </c>
      <c r="U20" s="8">
        <v>0.786334719124817</v>
      </c>
      <c r="V20" s="8">
        <v>0.508018670927997</v>
      </c>
      <c r="W20" s="8">
        <v>23.9326148763393</v>
      </c>
      <c r="X20" s="8">
        <v>2.50135636908758</v>
      </c>
      <c r="Y20" s="8">
        <v>2.41586119828375</v>
      </c>
      <c r="Z20" s="8">
        <v>4.18654094525939</v>
      </c>
      <c r="AA20" s="8">
        <v>0.9732368737546</v>
      </c>
      <c r="AB20" s="8">
        <v>0.845779755070643</v>
      </c>
      <c r="AC20" s="8">
        <v>0.224716261623841</v>
      </c>
      <c r="AD20" s="8">
        <v>1.39391837701639</v>
      </c>
      <c r="AE20" s="8">
        <v>0.206171281036314</v>
      </c>
      <c r="AF20" s="8">
        <v>0.12747084031376</v>
      </c>
    </row>
    <row r="21" ht="14.5" spans="1:32">
      <c r="A21" s="6" t="s">
        <v>139</v>
      </c>
      <c r="B21" s="8">
        <v>2.24315248665552</v>
      </c>
      <c r="C21" s="8">
        <v>3.23841326502479</v>
      </c>
      <c r="D21" s="8">
        <v>0.48888554417136</v>
      </c>
      <c r="E21" s="8">
        <v>6.41620220802211</v>
      </c>
      <c r="F21" s="8">
        <v>7.49197816502158</v>
      </c>
      <c r="G21" s="8">
        <v>3.21403211637412</v>
      </c>
      <c r="H21" s="8">
        <v>1.99375388852594</v>
      </c>
      <c r="I21" s="8">
        <v>9.70216556722789</v>
      </c>
      <c r="J21" s="8">
        <v>0.185921000834124</v>
      </c>
      <c r="K21" s="8">
        <v>0.655913290350467</v>
      </c>
      <c r="L21" s="8">
        <v>17.7026541083065</v>
      </c>
      <c r="M21" s="8">
        <v>0.427328672739049</v>
      </c>
      <c r="N21" s="8">
        <v>0.987171282635425</v>
      </c>
      <c r="O21" s="8">
        <v>1.17628332087307</v>
      </c>
      <c r="P21" s="8">
        <v>0.278019865228901</v>
      </c>
      <c r="Q21" s="8">
        <v>0.289502463082413</v>
      </c>
      <c r="R21" s="8">
        <v>3.74486329205522</v>
      </c>
      <c r="S21" s="8">
        <v>0.907451011636317</v>
      </c>
      <c r="T21" s="8">
        <v>0.0468884951909899</v>
      </c>
      <c r="U21" s="8">
        <v>0.794718102834705</v>
      </c>
      <c r="V21" s="8">
        <v>0.59643087840242</v>
      </c>
      <c r="W21" s="8">
        <v>25.2030391062175</v>
      </c>
      <c r="X21" s="8">
        <v>2.04303099531901</v>
      </c>
      <c r="Y21" s="8">
        <v>2.45893212321051</v>
      </c>
      <c r="Z21" s="8">
        <v>3.27451355612979</v>
      </c>
      <c r="AA21" s="8">
        <v>0.542992501360977</v>
      </c>
      <c r="AB21" s="8">
        <v>1.25026932039774</v>
      </c>
      <c r="AC21" s="8">
        <v>0.611504458100391</v>
      </c>
      <c r="AD21" s="8">
        <v>1.38269996511617</v>
      </c>
      <c r="AE21" s="8">
        <v>0.231864724964047</v>
      </c>
      <c r="AF21" s="8">
        <v>0.419424223990966</v>
      </c>
    </row>
    <row r="22" ht="14.5" spans="1:32">
      <c r="A22" s="6" t="s">
        <v>140</v>
      </c>
      <c r="B22" s="8">
        <v>1.86462758947363</v>
      </c>
      <c r="C22" s="8">
        <v>3.16583458226585</v>
      </c>
      <c r="D22" s="8">
        <v>0.277237479845504</v>
      </c>
      <c r="E22" s="8">
        <v>7.54896639094917</v>
      </c>
      <c r="F22" s="8">
        <v>6.03009464827438</v>
      </c>
      <c r="G22" s="8">
        <v>4.29342188477153</v>
      </c>
      <c r="H22" s="8">
        <v>1.66158227869287</v>
      </c>
      <c r="I22" s="8">
        <v>11.9619816540792</v>
      </c>
      <c r="J22" s="8">
        <v>0.255082195064397</v>
      </c>
      <c r="K22" s="8">
        <v>0.633334387559948</v>
      </c>
      <c r="L22" s="8">
        <v>16.9724044927389</v>
      </c>
      <c r="M22" s="8">
        <v>0.151585718855502</v>
      </c>
      <c r="N22" s="8">
        <v>1.34665032618224</v>
      </c>
      <c r="O22" s="8">
        <v>1.37829687135585</v>
      </c>
      <c r="P22" s="8">
        <v>0.468546019112283</v>
      </c>
      <c r="Q22" s="8">
        <v>0.509640604478758</v>
      </c>
      <c r="R22" s="8">
        <v>1.93664304898323</v>
      </c>
      <c r="S22" s="8">
        <v>0.783383504374224</v>
      </c>
      <c r="T22" s="8">
        <v>0.0367853813804462</v>
      </c>
      <c r="U22" s="8">
        <v>0.670323779075101</v>
      </c>
      <c r="V22" s="8">
        <v>0.594620184620741</v>
      </c>
      <c r="W22" s="8">
        <v>26.5066386471164</v>
      </c>
      <c r="X22" s="8">
        <v>2.14768520966405</v>
      </c>
      <c r="Y22" s="8">
        <v>2.21910518149908</v>
      </c>
      <c r="Z22" s="8">
        <v>2.84737924758084</v>
      </c>
      <c r="AA22" s="8">
        <v>0.389216936237415</v>
      </c>
      <c r="AB22" s="8">
        <v>1.1417227529419</v>
      </c>
      <c r="AC22" s="8">
        <v>0.736482302892302</v>
      </c>
      <c r="AD22" s="8">
        <v>0.85240258821712</v>
      </c>
      <c r="AE22" s="8">
        <v>0.0878851309958636</v>
      </c>
      <c r="AF22" s="8">
        <v>0.530438980721321</v>
      </c>
    </row>
    <row r="23" ht="14.5" spans="1:32">
      <c r="A23" s="6" t="s">
        <v>141</v>
      </c>
      <c r="B23" s="8">
        <v>2.3681839142694</v>
      </c>
      <c r="C23" s="8">
        <v>2.76795285806624</v>
      </c>
      <c r="D23" s="8">
        <v>0.227146187519733</v>
      </c>
      <c r="E23" s="8">
        <v>5.38924806428269</v>
      </c>
      <c r="F23" s="8">
        <v>6.82339536699982</v>
      </c>
      <c r="G23" s="8">
        <v>4.14810711987699</v>
      </c>
      <c r="H23" s="8">
        <v>1.59196821469769</v>
      </c>
      <c r="I23" s="8">
        <v>12.1301971673896</v>
      </c>
      <c r="J23" s="8">
        <v>0.306196719749062</v>
      </c>
      <c r="K23" s="8">
        <v>0.572784773858677</v>
      </c>
      <c r="L23" s="8">
        <v>16.4469943415061</v>
      </c>
      <c r="M23" s="8">
        <v>0.371575642127216</v>
      </c>
      <c r="N23" s="8">
        <v>1.62534195072064</v>
      </c>
      <c r="O23" s="8">
        <v>1.51766361826122</v>
      </c>
      <c r="P23" s="8">
        <v>0.572708661480313</v>
      </c>
      <c r="Q23" s="8">
        <v>0.581378951501599</v>
      </c>
      <c r="R23" s="8">
        <v>2.59231522664596</v>
      </c>
      <c r="S23" s="8">
        <v>0.494626259061864</v>
      </c>
      <c r="T23" s="8">
        <v>0.0507638529476417</v>
      </c>
      <c r="U23" s="8">
        <v>0.316400963912459</v>
      </c>
      <c r="V23" s="8">
        <v>0.68772094701599</v>
      </c>
      <c r="W23" s="8">
        <v>24.3604633739508</v>
      </c>
      <c r="X23" s="8">
        <v>2.32188649281936</v>
      </c>
      <c r="Y23" s="8">
        <v>3.09119364367367</v>
      </c>
      <c r="Z23" s="8">
        <v>3.46780275942778</v>
      </c>
      <c r="AA23" s="8">
        <v>0.361782228029846</v>
      </c>
      <c r="AB23" s="8">
        <v>1.72364319888185</v>
      </c>
      <c r="AC23" s="8">
        <v>1.38905656200319</v>
      </c>
      <c r="AD23" s="8">
        <v>0.815701230114392</v>
      </c>
      <c r="AE23" s="8">
        <v>0.0543124575507516</v>
      </c>
      <c r="AF23" s="8">
        <v>0.831487251657458</v>
      </c>
    </row>
    <row r="24" ht="14.5" spans="1:32">
      <c r="A24" s="6" t="s">
        <v>142</v>
      </c>
      <c r="B24" s="8">
        <v>2.08366457149477</v>
      </c>
      <c r="C24" s="8">
        <v>2.71169093886234</v>
      </c>
      <c r="D24" s="8">
        <v>0.321037955540625</v>
      </c>
      <c r="E24" s="8">
        <v>4.42553522689694</v>
      </c>
      <c r="F24" s="8">
        <v>6.11793526563228</v>
      </c>
      <c r="G24" s="8">
        <v>4.46184354026507</v>
      </c>
      <c r="H24" s="8">
        <v>1.29630508654001</v>
      </c>
      <c r="I24" s="8">
        <v>12.8906211202164</v>
      </c>
      <c r="J24" s="8">
        <v>0.333380933613826</v>
      </c>
      <c r="K24" s="8">
        <v>0.497787017761964</v>
      </c>
      <c r="L24" s="8">
        <v>19.3433481455446</v>
      </c>
      <c r="M24" s="8">
        <v>0.283711107793626</v>
      </c>
      <c r="N24" s="8">
        <v>1.92431823059174</v>
      </c>
      <c r="O24" s="8">
        <v>1.21549684500609</v>
      </c>
      <c r="P24" s="8">
        <v>0.639545331422931</v>
      </c>
      <c r="Q24" s="8">
        <v>0.71937879718272</v>
      </c>
      <c r="R24" s="8">
        <v>1.88925821419441</v>
      </c>
      <c r="S24" s="8">
        <v>0.606591771288317</v>
      </c>
      <c r="T24" s="8">
        <v>0.0369414568994451</v>
      </c>
      <c r="U24" s="8">
        <v>0.364481614012961</v>
      </c>
      <c r="V24" s="8">
        <v>0.81595637138663</v>
      </c>
      <c r="W24" s="8">
        <v>23.7916696586579</v>
      </c>
      <c r="X24" s="8">
        <v>2.27736925537962</v>
      </c>
      <c r="Y24" s="8">
        <v>2.68649388061691</v>
      </c>
      <c r="Z24" s="8">
        <v>4.47956407989088</v>
      </c>
      <c r="AA24" s="8">
        <v>0.508461225343269</v>
      </c>
      <c r="AB24" s="8">
        <v>1.36898950520769</v>
      </c>
      <c r="AC24" s="8">
        <v>0.67712533685911</v>
      </c>
      <c r="AD24" s="8">
        <v>0.558333569336945</v>
      </c>
      <c r="AE24" s="8">
        <v>0.0176303498306088</v>
      </c>
      <c r="AF24" s="8">
        <v>0.655533596729353</v>
      </c>
    </row>
    <row r="25" ht="14.5" spans="1:32">
      <c r="A25" s="6" t="s">
        <v>143</v>
      </c>
      <c r="B25" s="8">
        <v>2.00503469908871</v>
      </c>
      <c r="C25" s="8">
        <v>2.49343908410022</v>
      </c>
      <c r="D25" s="8">
        <v>0.259392532167296</v>
      </c>
      <c r="E25" s="8">
        <v>4.42059546355521</v>
      </c>
      <c r="F25" s="8">
        <v>6.45548356318546</v>
      </c>
      <c r="G25" s="8">
        <v>4.16146150576189</v>
      </c>
      <c r="H25" s="8">
        <v>1.5775284377518</v>
      </c>
      <c r="I25" s="8">
        <v>13.1650224138359</v>
      </c>
      <c r="J25" s="8">
        <v>0.42367088507686</v>
      </c>
      <c r="K25" s="8">
        <v>0.479353381900643</v>
      </c>
      <c r="L25" s="8">
        <v>19.4308268808008</v>
      </c>
      <c r="M25" s="8">
        <v>0.299471196294127</v>
      </c>
      <c r="N25" s="8">
        <v>1.47521915796797</v>
      </c>
      <c r="O25" s="8">
        <v>0.921973059751629</v>
      </c>
      <c r="P25" s="8">
        <v>0.389197404083868</v>
      </c>
      <c r="Q25" s="8">
        <v>0.559187449100686</v>
      </c>
      <c r="R25" s="8">
        <v>1.52819174633007</v>
      </c>
      <c r="S25" s="8">
        <v>0.533833143089355</v>
      </c>
      <c r="T25" s="8">
        <v>0.0365296671723207</v>
      </c>
      <c r="U25" s="8">
        <v>0.333040346781988</v>
      </c>
      <c r="V25" s="8">
        <v>0.873968247531441</v>
      </c>
      <c r="W25" s="8">
        <v>20.1673269147141</v>
      </c>
      <c r="X25" s="8">
        <v>3.08863753882254</v>
      </c>
      <c r="Y25" s="8">
        <v>1.99891723115502</v>
      </c>
      <c r="Z25" s="8">
        <v>7.56938567813485</v>
      </c>
      <c r="AA25" s="8">
        <v>1.28771091454541</v>
      </c>
      <c r="AB25" s="8">
        <v>1.99273553612732</v>
      </c>
      <c r="AC25" s="8">
        <v>0.743117109742793</v>
      </c>
      <c r="AD25" s="8">
        <v>0.808453298803709</v>
      </c>
      <c r="AE25" s="8">
        <v>0.0330683361797479</v>
      </c>
      <c r="AF25" s="8">
        <v>0.488227176446247</v>
      </c>
    </row>
    <row r="26" ht="14.5" spans="1:32">
      <c r="A26" s="6" t="s">
        <v>144</v>
      </c>
      <c r="B26" s="8">
        <v>1.77963513185413</v>
      </c>
      <c r="C26" s="8">
        <v>2.18881624479778</v>
      </c>
      <c r="D26" s="8">
        <v>0.363274879966669</v>
      </c>
      <c r="E26" s="8">
        <v>3.45975617657697</v>
      </c>
      <c r="F26" s="8">
        <v>7.03439229583409</v>
      </c>
      <c r="G26" s="8">
        <v>5.03253495743694</v>
      </c>
      <c r="H26" s="8">
        <v>2.4829945900777</v>
      </c>
      <c r="I26" s="8">
        <v>10.1272681986622</v>
      </c>
      <c r="J26" s="8">
        <v>0.412703602903099</v>
      </c>
      <c r="K26" s="8">
        <v>0.261526992011298</v>
      </c>
      <c r="L26" s="8">
        <v>18.6721092051049</v>
      </c>
      <c r="M26" s="8">
        <v>0.779886803043443</v>
      </c>
      <c r="N26" s="8">
        <v>0.967063866727579</v>
      </c>
      <c r="O26" s="8">
        <v>0.843034456237004</v>
      </c>
      <c r="P26" s="8">
        <v>0.157186012783808</v>
      </c>
      <c r="Q26" s="8">
        <v>0.296104211826872</v>
      </c>
      <c r="R26" s="8">
        <v>2.20784282416843</v>
      </c>
      <c r="S26" s="8">
        <v>0.460352823365956</v>
      </c>
      <c r="T26" s="8">
        <v>0</v>
      </c>
      <c r="U26" s="8">
        <v>0.211040550922174</v>
      </c>
      <c r="V26" s="8">
        <v>0.736035830645326</v>
      </c>
      <c r="W26" s="8">
        <v>19.6066734149202</v>
      </c>
      <c r="X26" s="8">
        <v>4.29738576584039</v>
      </c>
      <c r="Y26" s="8">
        <v>2.53682913722336</v>
      </c>
      <c r="Z26" s="8">
        <v>8.40559707181249</v>
      </c>
      <c r="AA26" s="8">
        <v>1.04994834722844</v>
      </c>
      <c r="AB26" s="8">
        <v>4.33920970023758</v>
      </c>
      <c r="AC26" s="8">
        <v>0.590775377654192</v>
      </c>
      <c r="AD26" s="8">
        <v>0.410772971768632</v>
      </c>
      <c r="AE26" s="8">
        <v>0.0443079064778816</v>
      </c>
      <c r="AF26" s="8">
        <v>0.244940651890433</v>
      </c>
    </row>
    <row r="27" ht="14.5" spans="1:32">
      <c r="A27" s="6" t="s">
        <v>145</v>
      </c>
      <c r="B27" s="8">
        <v>1.81859433062546</v>
      </c>
      <c r="C27" s="8">
        <v>2.08984992482174</v>
      </c>
      <c r="D27" s="8">
        <v>0.286100845006511</v>
      </c>
      <c r="E27" s="8">
        <v>3.35690859744871</v>
      </c>
      <c r="F27" s="8">
        <v>7.98992697288728</v>
      </c>
      <c r="G27" s="8">
        <v>6.04089628049192</v>
      </c>
      <c r="H27" s="8">
        <v>3.1534020095647</v>
      </c>
      <c r="I27" s="8">
        <v>11.0386495104143</v>
      </c>
      <c r="J27" s="8">
        <v>0.380276063116023</v>
      </c>
      <c r="K27" s="8">
        <v>0.451564084192514</v>
      </c>
      <c r="L27" s="8">
        <v>20.2470377324835</v>
      </c>
      <c r="M27" s="8">
        <v>0.705939622644434</v>
      </c>
      <c r="N27" s="8">
        <v>1.16680775039975</v>
      </c>
      <c r="O27" s="8">
        <v>0.961658564028057</v>
      </c>
      <c r="P27" s="8">
        <v>0.133188279767338</v>
      </c>
      <c r="Q27" s="8">
        <v>0.280153763853955</v>
      </c>
      <c r="R27" s="8">
        <v>2.53128540721787</v>
      </c>
      <c r="S27" s="8">
        <v>1.37857633961282</v>
      </c>
      <c r="T27" s="8">
        <v>0</v>
      </c>
      <c r="U27" s="8">
        <v>0.254110714524713</v>
      </c>
      <c r="V27" s="8">
        <v>0.580005087208552</v>
      </c>
      <c r="W27" s="8">
        <v>15.6001488711924</v>
      </c>
      <c r="X27" s="8">
        <v>4.526881199016</v>
      </c>
      <c r="Y27" s="8">
        <v>2.34741101861128</v>
      </c>
      <c r="Z27" s="8">
        <v>6.54498776889424</v>
      </c>
      <c r="AA27" s="8">
        <v>0.576549295088797</v>
      </c>
      <c r="AB27" s="8">
        <v>3.28655711304206</v>
      </c>
      <c r="AC27" s="8">
        <v>1.17169282941602</v>
      </c>
      <c r="AD27" s="8">
        <v>0.623248362650967</v>
      </c>
      <c r="AE27" s="8">
        <v>0.155351981078943</v>
      </c>
      <c r="AF27" s="8">
        <v>0.322239680699152</v>
      </c>
    </row>
    <row r="28" ht="14.5" spans="1:32">
      <c r="A28" s="6" t="s">
        <v>146</v>
      </c>
      <c r="B28" s="8">
        <v>2.69714325946369</v>
      </c>
      <c r="C28" s="8">
        <v>2.08932561718972</v>
      </c>
      <c r="D28" s="8">
        <v>0.391065293125521</v>
      </c>
      <c r="E28" s="8">
        <v>3.30708426514282</v>
      </c>
      <c r="F28" s="8">
        <v>10.366116693414</v>
      </c>
      <c r="G28" s="8">
        <v>5.29551523145644</v>
      </c>
      <c r="H28" s="8">
        <v>3.64426122122352</v>
      </c>
      <c r="I28" s="8">
        <v>9.90947785274138</v>
      </c>
      <c r="J28" s="8">
        <v>0.382304190891236</v>
      </c>
      <c r="K28" s="8">
        <v>0.362656301106531</v>
      </c>
      <c r="L28" s="8">
        <v>21.5600370746492</v>
      </c>
      <c r="M28" s="8">
        <v>0.894840039286037</v>
      </c>
      <c r="N28" s="8">
        <v>0.82612605876456</v>
      </c>
      <c r="O28" s="8">
        <v>0.850624662453401</v>
      </c>
      <c r="P28" s="8">
        <v>0.115658812084917</v>
      </c>
      <c r="Q28" s="8">
        <v>0.347564145785136</v>
      </c>
      <c r="R28" s="8">
        <v>2.45015979865425</v>
      </c>
      <c r="S28" s="8">
        <v>0.994368366482937</v>
      </c>
      <c r="T28" s="8">
        <v>0</v>
      </c>
      <c r="U28" s="8">
        <v>0.137108988521999</v>
      </c>
      <c r="V28" s="8">
        <v>0.340497748327794</v>
      </c>
      <c r="W28" s="8">
        <v>14.8709596327862</v>
      </c>
      <c r="X28" s="8">
        <v>4.51087117656893</v>
      </c>
      <c r="Y28" s="8">
        <v>2.19835624414173</v>
      </c>
      <c r="Z28" s="8">
        <v>5.84870138005237</v>
      </c>
      <c r="AA28" s="8">
        <v>0.549453531575229</v>
      </c>
      <c r="AB28" s="8">
        <v>2.65304627590449</v>
      </c>
      <c r="AC28" s="8">
        <v>1.49956961251557</v>
      </c>
      <c r="AD28" s="8">
        <v>0.622257679221841</v>
      </c>
      <c r="AE28" s="8">
        <v>0.193912073631187</v>
      </c>
      <c r="AF28" s="8">
        <v>0.0909367728373426</v>
      </c>
    </row>
    <row r="29" ht="14.5" spans="1:32">
      <c r="A29" s="6" t="s">
        <v>147</v>
      </c>
      <c r="B29" s="8">
        <v>2.6072612259915</v>
      </c>
      <c r="C29" s="8">
        <v>2.2325594702922</v>
      </c>
      <c r="D29" s="8">
        <v>0.434045834654022</v>
      </c>
      <c r="E29" s="8">
        <v>4.64661014568169</v>
      </c>
      <c r="F29" s="8">
        <v>10.079429035558</v>
      </c>
      <c r="G29" s="8">
        <v>4.90537847076989</v>
      </c>
      <c r="H29" s="8">
        <v>4.48557303306206</v>
      </c>
      <c r="I29" s="8">
        <v>10.5023801513266</v>
      </c>
      <c r="J29" s="8">
        <v>0.414770249984972</v>
      </c>
      <c r="K29" s="8">
        <v>0.452904864473345</v>
      </c>
      <c r="L29" s="8">
        <v>17.9424269393102</v>
      </c>
      <c r="M29" s="8">
        <v>1.69207942423659</v>
      </c>
      <c r="N29" s="8">
        <v>1.14639287957695</v>
      </c>
      <c r="O29" s="8">
        <v>0.797271894988454</v>
      </c>
      <c r="P29" s="8">
        <v>0.131982900282545</v>
      </c>
      <c r="Q29" s="8">
        <v>0.285940482768521</v>
      </c>
      <c r="R29" s="8">
        <v>3.14172220356866</v>
      </c>
      <c r="S29" s="8">
        <v>0.724151711678325</v>
      </c>
      <c r="T29" s="8">
        <v>0</v>
      </c>
      <c r="U29" s="8">
        <v>0.138343305177602</v>
      </c>
      <c r="V29" s="8">
        <v>0.422538674025255</v>
      </c>
      <c r="W29" s="8">
        <v>15.2259270317384</v>
      </c>
      <c r="X29" s="8">
        <v>4.32001803296896</v>
      </c>
      <c r="Y29" s="8">
        <v>1.65175468342278</v>
      </c>
      <c r="Z29" s="8">
        <v>3.89515841012812</v>
      </c>
      <c r="AA29" s="8">
        <v>0.872551921878216</v>
      </c>
      <c r="AB29" s="8">
        <v>4.31834728915302</v>
      </c>
      <c r="AC29" s="8">
        <v>1.26625975095032</v>
      </c>
      <c r="AD29" s="8">
        <v>0.868730177661384</v>
      </c>
      <c r="AE29" s="8">
        <v>0.181017169585765</v>
      </c>
      <c r="AF29" s="8">
        <v>0.216472635105753</v>
      </c>
    </row>
    <row r="30" ht="14.5" spans="1:32">
      <c r="A30" s="6" t="s">
        <v>148</v>
      </c>
      <c r="B30" s="8">
        <v>2.2857477390721</v>
      </c>
      <c r="C30" s="8">
        <v>1.90537979256151</v>
      </c>
      <c r="D30" s="8">
        <v>0.37384018825493</v>
      </c>
      <c r="E30" s="8">
        <v>4.64649619063123</v>
      </c>
      <c r="F30" s="8">
        <v>14.2644975407405</v>
      </c>
      <c r="G30" s="8">
        <v>5.2725088009348</v>
      </c>
      <c r="H30" s="8">
        <v>5.53152254714884</v>
      </c>
      <c r="I30" s="8">
        <v>8.07483304131265</v>
      </c>
      <c r="J30" s="8">
        <v>0.362883134537362</v>
      </c>
      <c r="K30" s="8">
        <v>0.429197450509513</v>
      </c>
      <c r="L30" s="8">
        <v>17.0810786014133</v>
      </c>
      <c r="M30" s="8">
        <v>2.15554259912132</v>
      </c>
      <c r="N30" s="8">
        <v>1.31230121451916</v>
      </c>
      <c r="O30" s="8">
        <v>0.915682407051164</v>
      </c>
      <c r="P30" s="8">
        <v>0.0680397725660276</v>
      </c>
      <c r="Q30" s="8">
        <v>0.293528813951968</v>
      </c>
      <c r="R30" s="8">
        <v>3.13449871849961</v>
      </c>
      <c r="S30" s="8">
        <v>0.458658568779306</v>
      </c>
      <c r="T30" s="8">
        <v>0.0003739592049787</v>
      </c>
      <c r="U30" s="8">
        <v>0.145411017191226</v>
      </c>
      <c r="V30" s="8">
        <v>0.476041000775052</v>
      </c>
      <c r="W30" s="8">
        <v>14.2262198726866</v>
      </c>
      <c r="X30" s="8">
        <v>4.15566286237583</v>
      </c>
      <c r="Y30" s="8">
        <v>1.70486539367688</v>
      </c>
      <c r="Z30" s="8">
        <v>2.00366021434821</v>
      </c>
      <c r="AA30" s="8">
        <v>0.679651740489256</v>
      </c>
      <c r="AB30" s="8">
        <v>5.60505056722577</v>
      </c>
      <c r="AC30" s="8">
        <v>1.2889928878375</v>
      </c>
      <c r="AD30" s="8">
        <v>0.819825123284669</v>
      </c>
      <c r="AE30" s="8">
        <v>0.124791444668154</v>
      </c>
      <c r="AF30" s="8">
        <v>0.203216794630643</v>
      </c>
    </row>
    <row r="31" ht="14.5" spans="1:32">
      <c r="A31" s="6" t="s">
        <v>149</v>
      </c>
      <c r="B31" s="8">
        <v>1.61815465531541</v>
      </c>
      <c r="C31" s="8">
        <v>2.00588354069318</v>
      </c>
      <c r="D31" s="8">
        <v>0.393355739048569</v>
      </c>
      <c r="E31" s="8">
        <v>4.094969669958</v>
      </c>
      <c r="F31" s="8">
        <v>13.0330988390904</v>
      </c>
      <c r="G31" s="8">
        <v>6.28153274490518</v>
      </c>
      <c r="H31" s="8">
        <v>7.22647322730004</v>
      </c>
      <c r="I31" s="8">
        <v>7.3381594701695</v>
      </c>
      <c r="J31" s="8">
        <v>0.297318067250188</v>
      </c>
      <c r="K31" s="8">
        <v>0.414145020227705</v>
      </c>
      <c r="L31" s="8">
        <v>16.9721854445543</v>
      </c>
      <c r="M31" s="8">
        <v>1.21669824807382</v>
      </c>
      <c r="N31" s="8">
        <v>1.0912938543123</v>
      </c>
      <c r="O31" s="8">
        <v>1.2404519775952</v>
      </c>
      <c r="P31" s="8">
        <v>0.104974601605149</v>
      </c>
      <c r="Q31" s="8">
        <v>0.23122255364852</v>
      </c>
      <c r="R31" s="8">
        <v>2.43752743524328</v>
      </c>
      <c r="S31" s="8">
        <v>1.00471486069532</v>
      </c>
      <c r="T31" s="8">
        <v>7.08191666600356e-5</v>
      </c>
      <c r="U31" s="8">
        <v>0.200000647719615</v>
      </c>
      <c r="V31" s="8">
        <v>0.495628987223866</v>
      </c>
      <c r="W31" s="8">
        <v>16.7301201397208</v>
      </c>
      <c r="X31" s="8">
        <v>3.90703590541438</v>
      </c>
      <c r="Y31" s="8">
        <v>1.45786555025575</v>
      </c>
      <c r="Z31" s="8">
        <v>2.14463849433801</v>
      </c>
      <c r="AA31" s="8">
        <v>0.669920984056558</v>
      </c>
      <c r="AB31" s="8">
        <v>5.57696857170501</v>
      </c>
      <c r="AC31" s="8">
        <v>0.881252503213201</v>
      </c>
      <c r="AD31" s="8">
        <v>0.725963787721194</v>
      </c>
      <c r="AE31" s="8">
        <v>0.0763748351105836</v>
      </c>
      <c r="AF31" s="8">
        <v>0.13199882466832</v>
      </c>
    </row>
    <row r="32" ht="14.5" spans="1:32">
      <c r="A32" s="6" t="s">
        <v>150</v>
      </c>
      <c r="B32" s="8">
        <v>1.43398783201132</v>
      </c>
      <c r="C32" s="8">
        <v>1.7892178093666</v>
      </c>
      <c r="D32" s="8">
        <v>0.519604781391005</v>
      </c>
      <c r="E32" s="8">
        <v>2.81396363975068</v>
      </c>
      <c r="F32" s="8">
        <v>15.4186864988311</v>
      </c>
      <c r="G32" s="8">
        <v>5.98539550891998</v>
      </c>
      <c r="H32" s="8">
        <v>6.96055487555054</v>
      </c>
      <c r="I32" s="8">
        <v>6.93709445688029</v>
      </c>
      <c r="J32" s="8">
        <v>0.309551978191815</v>
      </c>
      <c r="K32" s="8">
        <v>0.374530761705321</v>
      </c>
      <c r="L32" s="8">
        <v>16.6984454152707</v>
      </c>
      <c r="M32" s="8">
        <v>0.692113722347674</v>
      </c>
      <c r="N32" s="8">
        <v>1.00566461889939</v>
      </c>
      <c r="O32" s="8">
        <v>0.821444702706228</v>
      </c>
      <c r="P32" s="8">
        <v>0.247813112414017</v>
      </c>
      <c r="Q32" s="8">
        <v>0.215088363440111</v>
      </c>
      <c r="R32" s="8">
        <v>3.19726546020529</v>
      </c>
      <c r="S32" s="8">
        <v>0.662590422912214</v>
      </c>
      <c r="T32" s="8">
        <v>0.0047204927511804</v>
      </c>
      <c r="U32" s="8">
        <v>0.225466131213317</v>
      </c>
      <c r="V32" s="8">
        <v>0.70067275543283</v>
      </c>
      <c r="W32" s="8">
        <v>17.1231670082124</v>
      </c>
      <c r="X32" s="8">
        <v>4.0259336229927</v>
      </c>
      <c r="Y32" s="8">
        <v>1.71838372128263</v>
      </c>
      <c r="Z32" s="8">
        <v>2.79336096319018</v>
      </c>
      <c r="AA32" s="8">
        <v>0.886070119499923</v>
      </c>
      <c r="AB32" s="8">
        <v>4.80499237064975</v>
      </c>
      <c r="AC32" s="8">
        <v>0.702572622533995</v>
      </c>
      <c r="AD32" s="8">
        <v>0.783514215368368</v>
      </c>
      <c r="AE32" s="8">
        <v>0.0608062232031446</v>
      </c>
      <c r="AF32" s="8">
        <v>0.0873257928754061</v>
      </c>
    </row>
    <row r="33" ht="14.5" spans="1:32">
      <c r="A33" s="6" t="s">
        <v>151</v>
      </c>
      <c r="B33" s="8">
        <v>1.3805173056966</v>
      </c>
      <c r="C33" s="8">
        <v>1.9271108580733</v>
      </c>
      <c r="D33" s="8">
        <v>0.525759324645825</v>
      </c>
      <c r="E33" s="8">
        <v>3.11775523421105</v>
      </c>
      <c r="F33" s="8">
        <v>17.5041245423171</v>
      </c>
      <c r="G33" s="8">
        <v>6.8917013487729</v>
      </c>
      <c r="H33" s="8">
        <v>6.64971538220738</v>
      </c>
      <c r="I33" s="8">
        <v>7.64404068917392</v>
      </c>
      <c r="J33" s="8">
        <v>0.284549631020742</v>
      </c>
      <c r="K33" s="8">
        <v>0.311927886825023</v>
      </c>
      <c r="L33" s="8">
        <v>18.4675842991812</v>
      </c>
      <c r="M33" s="8">
        <v>0.490413811749915</v>
      </c>
      <c r="N33" s="8">
        <v>0.770305690738934</v>
      </c>
      <c r="O33" s="8">
        <v>0.916526343500561</v>
      </c>
      <c r="P33" s="8">
        <v>0.387243806383376</v>
      </c>
      <c r="Q33" s="8">
        <v>0.239579477554253</v>
      </c>
      <c r="R33" s="8">
        <v>2.80829208903975</v>
      </c>
      <c r="S33" s="8">
        <v>0.825115193091966</v>
      </c>
      <c r="T33" s="8">
        <v>0.0229454213145201</v>
      </c>
      <c r="U33" s="8">
        <v>0.221300187272065</v>
      </c>
      <c r="V33" s="8">
        <v>0.655107100947729</v>
      </c>
      <c r="W33" s="8">
        <v>14.1684586982546</v>
      </c>
      <c r="X33" s="8">
        <v>4.9414270437856</v>
      </c>
      <c r="Y33" s="8">
        <v>1.25541962731826</v>
      </c>
      <c r="Z33" s="8">
        <v>2.72096737436875</v>
      </c>
      <c r="AA33" s="8">
        <v>1.01316553273323</v>
      </c>
      <c r="AB33" s="8">
        <v>2.92592319135948</v>
      </c>
      <c r="AC33" s="8">
        <v>0.277059376421157</v>
      </c>
      <c r="AD33" s="8">
        <v>0.436375835190219</v>
      </c>
      <c r="AE33" s="8">
        <v>0.0663181025862818</v>
      </c>
      <c r="AF33" s="8">
        <v>0.153269594264257</v>
      </c>
    </row>
    <row r="34" ht="14.5" spans="1:32">
      <c r="A34" s="6" t="s">
        <v>152</v>
      </c>
      <c r="B34" s="8">
        <v>1.73897642227387</v>
      </c>
      <c r="C34" s="8">
        <v>1.81268827668061</v>
      </c>
      <c r="D34" s="8">
        <v>0.348406063272879</v>
      </c>
      <c r="E34" s="8">
        <v>3.24841861340799</v>
      </c>
      <c r="F34" s="8">
        <v>18.6109553701826</v>
      </c>
      <c r="G34" s="8">
        <v>5.37626030018937</v>
      </c>
      <c r="H34" s="8">
        <v>5.64957222193601</v>
      </c>
      <c r="I34" s="8">
        <v>6.23407786448238</v>
      </c>
      <c r="J34" s="8">
        <v>0.415482125714458</v>
      </c>
      <c r="K34" s="8">
        <v>0.563487497692661</v>
      </c>
      <c r="L34" s="8">
        <v>17.5374998567247</v>
      </c>
      <c r="M34" s="8">
        <v>0.722252013460741</v>
      </c>
      <c r="N34" s="8">
        <v>1.3264628273067</v>
      </c>
      <c r="O34" s="8">
        <v>0.804138743109592</v>
      </c>
      <c r="P34" s="8">
        <v>0.452796700751599</v>
      </c>
      <c r="Q34" s="8">
        <v>0.315912468521653</v>
      </c>
      <c r="R34" s="8">
        <v>3.28815116660065</v>
      </c>
      <c r="S34" s="8">
        <v>0.819223782399906</v>
      </c>
      <c r="T34" s="8">
        <v>0.0231446273955735</v>
      </c>
      <c r="U34" s="8">
        <v>0.150147056598401</v>
      </c>
      <c r="V34" s="8">
        <v>0.705449280601315</v>
      </c>
      <c r="W34" s="8">
        <v>14.0537629887052</v>
      </c>
      <c r="X34" s="8">
        <v>4.4228378542018</v>
      </c>
      <c r="Y34" s="8">
        <v>1.49303813136632</v>
      </c>
      <c r="Z34" s="8">
        <v>2.44813495347673</v>
      </c>
      <c r="AA34" s="8">
        <v>1.58863004325798</v>
      </c>
      <c r="AB34" s="8">
        <v>5.02485298496713</v>
      </c>
      <c r="AC34" s="8">
        <v>0.14115016711656</v>
      </c>
      <c r="AD34" s="8">
        <v>0.445483964193909</v>
      </c>
      <c r="AE34" s="8">
        <v>0.0767283366910919</v>
      </c>
      <c r="AF34" s="8">
        <v>0.161877296719682</v>
      </c>
    </row>
    <row r="35" ht="14.5" spans="1:32">
      <c r="A35" s="6" t="s">
        <v>153</v>
      </c>
      <c r="B35" s="8">
        <v>1.19267920232002</v>
      </c>
      <c r="C35" s="8">
        <v>2.07579939339903</v>
      </c>
      <c r="D35" s="8">
        <v>0.368709688012146</v>
      </c>
      <c r="E35" s="8">
        <v>4.7152565680087</v>
      </c>
      <c r="F35" s="8">
        <v>23.2310708133344</v>
      </c>
      <c r="G35" s="8">
        <v>4.56111126929318</v>
      </c>
      <c r="H35" s="8">
        <v>4.0210687747149</v>
      </c>
      <c r="I35" s="8">
        <v>4.8904648303193</v>
      </c>
      <c r="J35" s="8">
        <v>0.176666523176546</v>
      </c>
      <c r="K35" s="8">
        <v>0.384313595791647</v>
      </c>
      <c r="L35" s="8">
        <v>15.5201784838221</v>
      </c>
      <c r="M35" s="8">
        <v>0.167272420797692</v>
      </c>
      <c r="N35" s="8">
        <v>0.983979163094469</v>
      </c>
      <c r="O35" s="8">
        <v>0.516404404646214</v>
      </c>
      <c r="P35" s="8">
        <v>0.235458572385632</v>
      </c>
      <c r="Q35" s="8">
        <v>0.137651656254271</v>
      </c>
      <c r="R35" s="8">
        <v>1.5900452850616</v>
      </c>
      <c r="S35" s="8">
        <v>0.649571524735557</v>
      </c>
      <c r="T35" s="8">
        <v>0.0295805035246634</v>
      </c>
      <c r="U35" s="8">
        <v>0.339321693056162</v>
      </c>
      <c r="V35" s="8">
        <v>0.39511103714251</v>
      </c>
      <c r="W35" s="8">
        <v>16.5807301799892</v>
      </c>
      <c r="X35" s="8">
        <v>3.81042734239832</v>
      </c>
      <c r="Y35" s="8">
        <v>1.70448049815391</v>
      </c>
      <c r="Z35" s="8">
        <v>1.91267816557511</v>
      </c>
      <c r="AA35" s="8">
        <v>1.76923830557992</v>
      </c>
      <c r="AB35" s="8">
        <v>7.45614685706099</v>
      </c>
      <c r="AC35" s="8">
        <v>0.127548756948557</v>
      </c>
      <c r="AD35" s="8">
        <v>0.353548989766863</v>
      </c>
      <c r="AE35" s="8">
        <v>0.0498884771584841</v>
      </c>
      <c r="AF35" s="8">
        <v>0.053597024477854</v>
      </c>
    </row>
    <row r="36" ht="14.5" spans="1:32">
      <c r="A36" s="6" t="s">
        <v>154</v>
      </c>
      <c r="B36" s="8">
        <v>1.26461918690928</v>
      </c>
      <c r="C36" s="8">
        <v>3.30371029333217</v>
      </c>
      <c r="D36" s="8">
        <v>0.418320991989545</v>
      </c>
      <c r="E36" s="8">
        <v>7.01791164018736</v>
      </c>
      <c r="F36" s="8">
        <v>21.711000710019</v>
      </c>
      <c r="G36" s="8">
        <v>4.54044411582974</v>
      </c>
      <c r="H36" s="8">
        <v>3.72029978872514</v>
      </c>
      <c r="I36" s="8">
        <v>4.36564874768732</v>
      </c>
      <c r="J36" s="8">
        <v>0.302333062357886</v>
      </c>
      <c r="K36" s="8">
        <v>0.412069503943863</v>
      </c>
      <c r="L36" s="8">
        <v>13.5090548634272</v>
      </c>
      <c r="M36" s="8">
        <v>0.162342852927842</v>
      </c>
      <c r="N36" s="8">
        <v>1.2010747566954</v>
      </c>
      <c r="O36" s="8">
        <v>0.413811490118303</v>
      </c>
      <c r="P36" s="8">
        <v>0.160671636746802</v>
      </c>
      <c r="Q36" s="8">
        <v>0.177965947023963</v>
      </c>
      <c r="R36" s="8">
        <v>1.43699811674624</v>
      </c>
      <c r="S36" s="8">
        <v>1.3620208322217</v>
      </c>
      <c r="T36" s="8">
        <v>0.0754933994813014</v>
      </c>
      <c r="U36" s="8">
        <v>0.499786242157696</v>
      </c>
      <c r="V36" s="8">
        <v>0.23240387562888</v>
      </c>
      <c r="W36" s="8">
        <v>15.3186672077388</v>
      </c>
      <c r="X36" s="8">
        <v>3.94262063849726</v>
      </c>
      <c r="Y36" s="8">
        <v>1.51791065395909</v>
      </c>
      <c r="Z36" s="8">
        <v>1.26711263350334</v>
      </c>
      <c r="AA36" s="8">
        <v>1.23661529488865</v>
      </c>
      <c r="AB36" s="8">
        <v>9.62818320446901</v>
      </c>
      <c r="AC36" s="8">
        <v>0.0967983328515571</v>
      </c>
      <c r="AD36" s="8">
        <v>0.561658416474661</v>
      </c>
      <c r="AE36" s="8">
        <v>0.123988728072449</v>
      </c>
      <c r="AF36" s="8">
        <v>0.0184628353885381</v>
      </c>
    </row>
    <row r="37" ht="14.5" spans="1:32">
      <c r="A37" s="6" t="s">
        <v>155</v>
      </c>
      <c r="B37" s="8">
        <v>1.35217137272524</v>
      </c>
      <c r="C37" s="8">
        <v>4.39849107558975</v>
      </c>
      <c r="D37" s="8">
        <v>0.451983253799428</v>
      </c>
      <c r="E37" s="8">
        <v>5.3830964644863</v>
      </c>
      <c r="F37" s="8">
        <v>18.7559854820095</v>
      </c>
      <c r="G37" s="8">
        <v>4.217757260968</v>
      </c>
      <c r="H37" s="8">
        <v>3.01023699350914</v>
      </c>
      <c r="I37" s="8">
        <v>3.92933064488176</v>
      </c>
      <c r="J37" s="8">
        <v>0.355453813536694</v>
      </c>
      <c r="K37" s="8">
        <v>0.471265767707197</v>
      </c>
      <c r="L37" s="8">
        <v>14.3371591084589</v>
      </c>
      <c r="M37" s="8">
        <v>0.252426874082816</v>
      </c>
      <c r="N37" s="8">
        <v>1.18725538774915</v>
      </c>
      <c r="O37" s="8">
        <v>0.459590412434432</v>
      </c>
      <c r="P37" s="8">
        <v>0.181471808061732</v>
      </c>
      <c r="Q37" s="8">
        <v>0.229809997054331</v>
      </c>
      <c r="R37" s="8">
        <v>2.03978872368913</v>
      </c>
      <c r="S37" s="8">
        <v>0.678580657921727</v>
      </c>
      <c r="T37" s="8">
        <v>0.0477739878887153</v>
      </c>
      <c r="U37" s="8">
        <v>0.657517974324453</v>
      </c>
      <c r="V37" s="8">
        <v>0.31778242961109</v>
      </c>
      <c r="W37" s="8">
        <v>17.4911962025546</v>
      </c>
      <c r="X37" s="8">
        <v>4.12217917197063</v>
      </c>
      <c r="Y37" s="8">
        <v>1.31635524509819</v>
      </c>
      <c r="Z37" s="8">
        <v>1.04020220431395</v>
      </c>
      <c r="AA37" s="8">
        <v>1.01107171994828</v>
      </c>
      <c r="AB37" s="8">
        <v>11.0726437978311</v>
      </c>
      <c r="AC37" s="8">
        <v>0.349174248086164</v>
      </c>
      <c r="AD37" s="8">
        <v>0.755651157322732</v>
      </c>
      <c r="AE37" s="8">
        <v>0.108419840440739</v>
      </c>
      <c r="AF37" s="8">
        <v>0.0181769219441156</v>
      </c>
    </row>
    <row r="38" ht="14.5" spans="1:32">
      <c r="A38" s="6" t="s">
        <v>156</v>
      </c>
      <c r="B38" s="8">
        <v>0.83576556798833</v>
      </c>
      <c r="C38" s="8">
        <v>3.12498979752771</v>
      </c>
      <c r="D38" s="8">
        <v>0.119742289894018</v>
      </c>
      <c r="E38" s="8">
        <v>3.41069530276415</v>
      </c>
      <c r="F38" s="8">
        <v>36.829332192166</v>
      </c>
      <c r="G38" s="8">
        <v>2.05006358698428</v>
      </c>
      <c r="H38" s="8">
        <v>1.92196747507433</v>
      </c>
      <c r="I38" s="8">
        <v>1.90946960856348</v>
      </c>
      <c r="J38" s="8">
        <v>0.25805515098903</v>
      </c>
      <c r="K38" s="8">
        <v>0.188909226880341</v>
      </c>
      <c r="L38" s="8">
        <v>10.2906601689345</v>
      </c>
      <c r="M38" s="8">
        <v>0.211290924032723</v>
      </c>
      <c r="N38" s="8">
        <v>0.559853521073729</v>
      </c>
      <c r="O38" s="8">
        <v>0.25659599304196</v>
      </c>
      <c r="P38" s="8">
        <v>0.143043876602403</v>
      </c>
      <c r="Q38" s="8">
        <v>0.112814733893319</v>
      </c>
      <c r="R38" s="8">
        <v>0.889810943449123</v>
      </c>
      <c r="S38" s="8">
        <v>0.724012306387002</v>
      </c>
      <c r="T38" s="8">
        <v>0.0079871303553565</v>
      </c>
      <c r="U38" s="8">
        <v>0.971074417929369</v>
      </c>
      <c r="V38" s="8">
        <v>0.0622899474588957</v>
      </c>
      <c r="W38" s="8">
        <v>11.2541428036337</v>
      </c>
      <c r="X38" s="8">
        <v>5.72661768122265</v>
      </c>
      <c r="Y38" s="8">
        <v>0.765094261476287</v>
      </c>
      <c r="Z38" s="8">
        <v>0.656104549146984</v>
      </c>
      <c r="AA38" s="8">
        <v>0.422381429272084</v>
      </c>
      <c r="AB38" s="8">
        <v>15.4059186649103</v>
      </c>
      <c r="AC38" s="8">
        <v>0.160507357231898</v>
      </c>
      <c r="AD38" s="8">
        <v>0.546261866498593</v>
      </c>
      <c r="AE38" s="8">
        <v>0.162580650419539</v>
      </c>
      <c r="AF38" s="8">
        <v>0.0219665741980413</v>
      </c>
    </row>
    <row r="40" spans="1:32">
      <c r="A40" s="2" t="s">
        <v>157</v>
      </c>
    </row>
  </sheetData>
  <conditionalFormatting sqref="B5:AF38">
    <cfRule type="colorScale" priority="1">
      <colorScale>
        <cfvo type="min"/>
        <cfvo type="percentile" val="60"/>
        <cfvo type="max"/>
        <color rgb="FFFFFFFF"/>
        <color rgb="FFFFD966"/>
        <color rgb="FFC00000"/>
      </colorScale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workbookViewId="0">
      <selection activeCell="K16" sqref="K16"/>
    </sheetView>
  </sheetViews>
  <sheetFormatPr defaultColWidth="9" defaultRowHeight="14"/>
  <cols>
    <col min="1" max="1" width="10" customWidth="1"/>
    <col min="2" max="10" width="12" customWidth="1"/>
  </cols>
  <sheetData>
    <row r="1" ht="22" customHeight="1" spans="1:10">
      <c r="A1" s="1" t="s">
        <v>158</v>
      </c>
    </row>
    <row r="2" spans="1:10">
      <c r="A2" s="2" t="s">
        <v>159</v>
      </c>
    </row>
    <row r="4" ht="14.5" spans="1:10">
      <c r="A4" s="3" t="s">
        <v>91</v>
      </c>
      <c r="B4" s="3" t="s">
        <v>160</v>
      </c>
      <c r="C4" s="3" t="s">
        <v>161</v>
      </c>
      <c r="D4" s="3" t="s">
        <v>162</v>
      </c>
      <c r="E4" s="3" t="s">
        <v>163</v>
      </c>
      <c r="F4" s="3" t="s">
        <v>164</v>
      </c>
      <c r="G4" s="3" t="s">
        <v>165</v>
      </c>
      <c r="H4" s="3" t="s">
        <v>166</v>
      </c>
      <c r="I4" s="3" t="s">
        <v>167</v>
      </c>
      <c r="J4" s="3" t="s">
        <v>168</v>
      </c>
    </row>
    <row r="5" ht="14.5" spans="1:10">
      <c r="A5" s="6" t="s">
        <v>123</v>
      </c>
      <c r="B5" s="11">
        <v>34.4797690126721</v>
      </c>
      <c r="C5" s="11">
        <v>49.4406351614046</v>
      </c>
      <c r="D5" s="11">
        <v>74.6152854052756</v>
      </c>
      <c r="E5" s="11">
        <v>0.0712906436247049</v>
      </c>
      <c r="F5" s="11">
        <v>0.0403336650788617</v>
      </c>
      <c r="G5" s="6" t="s">
        <v>169</v>
      </c>
      <c r="H5" s="11">
        <v>15.6018010794934</v>
      </c>
      <c r="I5" s="6" t="s">
        <v>170</v>
      </c>
      <c r="J5" s="6" t="s">
        <v>171</v>
      </c>
    </row>
    <row r="6" ht="14.5" spans="1:10">
      <c r="A6" s="6" t="s">
        <v>124</v>
      </c>
      <c r="B6" s="11">
        <v>43.1989781301979</v>
      </c>
      <c r="C6" s="11">
        <v>56.6114183388311</v>
      </c>
      <c r="D6" s="11">
        <v>77.1545428030079</v>
      </c>
      <c r="E6" s="11">
        <v>0.0894752393290693</v>
      </c>
      <c r="F6" s="11">
        <v>0.0591244139733716</v>
      </c>
      <c r="G6" s="6" t="s">
        <v>169</v>
      </c>
      <c r="H6" s="11">
        <v>19.9608008933236</v>
      </c>
      <c r="I6" s="6" t="s">
        <v>170</v>
      </c>
      <c r="J6" s="6" t="s">
        <v>171</v>
      </c>
    </row>
    <row r="7" ht="14.5" spans="1:10">
      <c r="A7" s="6" t="s">
        <v>125</v>
      </c>
      <c r="B7" s="11">
        <v>41.3731279971047</v>
      </c>
      <c r="C7" s="11">
        <v>54.7415987158073</v>
      </c>
      <c r="D7" s="11">
        <v>76.4375677787189</v>
      </c>
      <c r="E7" s="11">
        <v>0.0853214664564027</v>
      </c>
      <c r="F7" s="11">
        <v>0.0548321820049495</v>
      </c>
      <c r="G7" s="6" t="s">
        <v>169</v>
      </c>
      <c r="H7" s="11">
        <v>18.9825890009183</v>
      </c>
      <c r="I7" s="6" t="s">
        <v>170</v>
      </c>
      <c r="J7" s="6" t="s">
        <v>171</v>
      </c>
    </row>
    <row r="8" ht="14.5" spans="1:10">
      <c r="A8" s="6" t="s">
        <v>126</v>
      </c>
      <c r="B8" s="11">
        <v>38.3359649757561</v>
      </c>
      <c r="C8" s="11">
        <v>53.3259073115308</v>
      </c>
      <c r="D8" s="11">
        <v>75.9390862113564</v>
      </c>
      <c r="E8" s="11">
        <v>0.0792840903432535</v>
      </c>
      <c r="F8" s="11">
        <v>0.0485935600213619</v>
      </c>
      <c r="G8" s="6" t="s">
        <v>169</v>
      </c>
      <c r="H8" s="11">
        <v>17.0816695782415</v>
      </c>
      <c r="I8" s="6" t="s">
        <v>170</v>
      </c>
      <c r="J8" s="6" t="s">
        <v>172</v>
      </c>
    </row>
    <row r="9" ht="14.5" spans="1:10">
      <c r="A9" s="6" t="s">
        <v>127</v>
      </c>
      <c r="B9" s="11">
        <v>43.4796128102856</v>
      </c>
      <c r="C9" s="11">
        <v>58.1840403865205</v>
      </c>
      <c r="D9" s="11">
        <v>80.5838684292051</v>
      </c>
      <c r="E9" s="11">
        <v>0.0945950298898888</v>
      </c>
      <c r="F9" s="11">
        <v>0.0644148642195518</v>
      </c>
      <c r="G9" s="6" t="s">
        <v>169</v>
      </c>
      <c r="H9" s="11">
        <v>19.0684144854852</v>
      </c>
      <c r="I9" s="6" t="s">
        <v>170</v>
      </c>
      <c r="J9" s="6" t="s">
        <v>173</v>
      </c>
    </row>
    <row r="10" ht="14.5" spans="1:10">
      <c r="A10" s="6" t="s">
        <v>128</v>
      </c>
      <c r="B10" s="11">
        <v>46.3197505710441</v>
      </c>
      <c r="C10" s="11">
        <v>60.0524723662237</v>
      </c>
      <c r="D10" s="11">
        <v>81.6445205484119</v>
      </c>
      <c r="E10" s="11">
        <v>0.10066231387055</v>
      </c>
      <c r="F10" s="11">
        <v>0.0706843909995686</v>
      </c>
      <c r="G10" s="6" t="s">
        <v>170</v>
      </c>
      <c r="H10" s="11">
        <v>20.1097497845361</v>
      </c>
      <c r="I10" s="6" t="s">
        <v>169</v>
      </c>
      <c r="J10" s="6" t="s">
        <v>171</v>
      </c>
    </row>
    <row r="11" ht="14.5" spans="1:10">
      <c r="A11" s="6" t="s">
        <v>129</v>
      </c>
      <c r="B11" s="11">
        <v>46.0209259615023</v>
      </c>
      <c r="C11" s="11">
        <v>62.187590016148</v>
      </c>
      <c r="D11" s="11">
        <v>83.713096150267</v>
      </c>
      <c r="E11" s="11">
        <v>0.10318783407018</v>
      </c>
      <c r="F11" s="11">
        <v>0.0732940952058529</v>
      </c>
      <c r="G11" s="6" t="s">
        <v>169</v>
      </c>
      <c r="H11" s="11">
        <v>19.6985934608597</v>
      </c>
      <c r="I11" s="6" t="s">
        <v>170</v>
      </c>
      <c r="J11" s="6" t="s">
        <v>171</v>
      </c>
    </row>
    <row r="12" ht="14.5" spans="1:10">
      <c r="A12" s="6" t="s">
        <v>130</v>
      </c>
      <c r="B12" s="11">
        <v>43.3201291572802</v>
      </c>
      <c r="C12" s="11">
        <v>61.264973874814</v>
      </c>
      <c r="D12" s="11">
        <v>83.0687708012094</v>
      </c>
      <c r="E12" s="11">
        <v>0.0934055227336322</v>
      </c>
      <c r="F12" s="11">
        <v>0.0631857068247532</v>
      </c>
      <c r="G12" s="6" t="s">
        <v>169</v>
      </c>
      <c r="H12" s="11">
        <v>17.2176515802896</v>
      </c>
      <c r="I12" s="6" t="s">
        <v>170</v>
      </c>
      <c r="J12" s="6" t="s">
        <v>174</v>
      </c>
    </row>
    <row r="13" ht="14.5" spans="1:10">
      <c r="A13" s="6" t="s">
        <v>131</v>
      </c>
      <c r="B13" s="11">
        <v>46.1894554417283</v>
      </c>
      <c r="C13" s="11">
        <v>63.2638782401852</v>
      </c>
      <c r="D13" s="11">
        <v>81.459611344137</v>
      </c>
      <c r="E13" s="11">
        <v>0.105027901482201</v>
      </c>
      <c r="F13" s="11">
        <v>0.0751954981982742</v>
      </c>
      <c r="G13" s="6" t="s">
        <v>169</v>
      </c>
      <c r="H13" s="11">
        <v>23.0270040709611</v>
      </c>
      <c r="I13" s="6" t="s">
        <v>170</v>
      </c>
      <c r="J13" s="6" t="s">
        <v>174</v>
      </c>
    </row>
    <row r="14" ht="14.5" spans="1:10">
      <c r="A14" s="6" t="s">
        <v>132</v>
      </c>
      <c r="B14" s="11">
        <v>53.4744084087414</v>
      </c>
      <c r="C14" s="11">
        <v>71.7115363456656</v>
      </c>
      <c r="D14" s="11">
        <v>86.6902304722791</v>
      </c>
      <c r="E14" s="11">
        <v>0.134295081992569</v>
      </c>
      <c r="F14" s="11">
        <v>0.105438251392322</v>
      </c>
      <c r="G14" s="6" t="s">
        <v>169</v>
      </c>
      <c r="H14" s="11">
        <v>27.884032736026</v>
      </c>
      <c r="I14" s="6" t="s">
        <v>170</v>
      </c>
      <c r="J14" s="6" t="s">
        <v>174</v>
      </c>
    </row>
    <row r="15" ht="14.5" spans="1:10">
      <c r="A15" s="6" t="s">
        <v>133</v>
      </c>
      <c r="B15" s="11">
        <v>49.0223980533087</v>
      </c>
      <c r="C15" s="11">
        <v>64.2692149809387</v>
      </c>
      <c r="D15" s="11">
        <v>81.1614665613672</v>
      </c>
      <c r="E15" s="11">
        <v>0.103636586742563</v>
      </c>
      <c r="F15" s="11">
        <v>0.0737578063006483</v>
      </c>
      <c r="G15" s="6" t="s">
        <v>169</v>
      </c>
      <c r="H15" s="11">
        <v>19.8057613995015</v>
      </c>
      <c r="I15" s="6" t="s">
        <v>170</v>
      </c>
      <c r="J15" s="6" t="s">
        <v>172</v>
      </c>
    </row>
    <row r="16" ht="14.5" spans="1:10">
      <c r="A16" s="6" t="s">
        <v>134</v>
      </c>
      <c r="B16" s="11">
        <v>47.7501627797736</v>
      </c>
      <c r="C16" s="11">
        <v>61.549665224468</v>
      </c>
      <c r="D16" s="11">
        <v>79.5610975734839</v>
      </c>
      <c r="E16" s="11">
        <v>0.0972895646682741</v>
      </c>
      <c r="F16" s="11">
        <v>0.0671992168238832</v>
      </c>
      <c r="G16" s="6" t="s">
        <v>169</v>
      </c>
      <c r="H16" s="11">
        <v>18.9447612056336</v>
      </c>
      <c r="I16" s="6" t="s">
        <v>170</v>
      </c>
      <c r="J16" s="6" t="s">
        <v>172</v>
      </c>
    </row>
    <row r="17" ht="14.5" spans="1:10">
      <c r="A17" s="6" t="s">
        <v>135</v>
      </c>
      <c r="B17" s="11">
        <v>43.7845404186468</v>
      </c>
      <c r="C17" s="11">
        <v>55.7231866305274</v>
      </c>
      <c r="D17" s="11">
        <v>76.3076177830868</v>
      </c>
      <c r="E17" s="11">
        <v>0.0856342548557112</v>
      </c>
      <c r="F17" s="11">
        <v>0.0551553966842349</v>
      </c>
      <c r="G17" s="6" t="s">
        <v>169</v>
      </c>
      <c r="H17" s="11">
        <v>17.5400198796145</v>
      </c>
      <c r="I17" s="6" t="s">
        <v>170</v>
      </c>
      <c r="J17" s="6" t="s">
        <v>172</v>
      </c>
    </row>
    <row r="18" ht="14.5" spans="1:10">
      <c r="A18" s="6" t="s">
        <v>136</v>
      </c>
      <c r="B18" s="11">
        <v>51.9003488838232</v>
      </c>
      <c r="C18" s="11">
        <v>64.7255924679274</v>
      </c>
      <c r="D18" s="11">
        <v>83.2087709783537</v>
      </c>
      <c r="E18" s="11">
        <v>0.11203086583923</v>
      </c>
      <c r="F18" s="11">
        <v>0.0824318947005376</v>
      </c>
      <c r="G18" s="6" t="s">
        <v>172</v>
      </c>
      <c r="H18" s="11">
        <v>19.9903307171754</v>
      </c>
      <c r="I18" s="6" t="s">
        <v>169</v>
      </c>
      <c r="J18" s="6" t="s">
        <v>170</v>
      </c>
    </row>
    <row r="19" ht="14.5" spans="1:10">
      <c r="A19" s="6" t="s">
        <v>137</v>
      </c>
      <c r="B19" s="11">
        <v>55.4820270974034</v>
      </c>
      <c r="C19" s="11">
        <v>70.4714194753691</v>
      </c>
      <c r="D19" s="11">
        <v>85.3672094431187</v>
      </c>
      <c r="E19" s="11">
        <v>0.133078360011702</v>
      </c>
      <c r="F19" s="11">
        <v>0.104180972012092</v>
      </c>
      <c r="G19" s="6" t="s">
        <v>172</v>
      </c>
      <c r="H19" s="11">
        <v>25.9479666138434</v>
      </c>
      <c r="I19" s="6" t="s">
        <v>169</v>
      </c>
      <c r="J19" s="6" t="s">
        <v>170</v>
      </c>
    </row>
    <row r="20" ht="14.5" spans="1:10">
      <c r="A20" s="6" t="s">
        <v>138</v>
      </c>
      <c r="B20" s="11">
        <v>52.1407443678664</v>
      </c>
      <c r="C20" s="11">
        <v>67.8162360434578</v>
      </c>
      <c r="D20" s="11">
        <v>83.9466585257469</v>
      </c>
      <c r="E20" s="11">
        <v>0.12005837093012</v>
      </c>
      <c r="F20" s="11">
        <v>0.0907269832944574</v>
      </c>
      <c r="G20" s="6" t="s">
        <v>172</v>
      </c>
      <c r="H20" s="11">
        <v>23.9326148763393</v>
      </c>
      <c r="I20" s="6" t="s">
        <v>169</v>
      </c>
      <c r="J20" s="6" t="s">
        <v>170</v>
      </c>
    </row>
    <row r="21" ht="14.5" spans="1:10">
      <c r="A21" s="6" t="s">
        <v>139</v>
      </c>
      <c r="B21" s="11">
        <v>52.6078587817519</v>
      </c>
      <c r="C21" s="11">
        <v>66.5160391547956</v>
      </c>
      <c r="D21" s="11">
        <v>82.44679350759</v>
      </c>
      <c r="E21" s="11">
        <v>0.121438954609566</v>
      </c>
      <c r="F21" s="11">
        <v>0.0921535864298853</v>
      </c>
      <c r="G21" s="6" t="s">
        <v>172</v>
      </c>
      <c r="H21" s="11">
        <v>25.2030391062175</v>
      </c>
      <c r="I21" s="6" t="s">
        <v>169</v>
      </c>
      <c r="J21" s="6" t="s">
        <v>170</v>
      </c>
    </row>
    <row r="22" ht="14.5" spans="1:10">
      <c r="A22" s="6" t="s">
        <v>140</v>
      </c>
      <c r="B22" s="11">
        <v>55.4410247939345</v>
      </c>
      <c r="C22" s="11">
        <v>69.020085833158</v>
      </c>
      <c r="D22" s="11">
        <v>83.6935119389394</v>
      </c>
      <c r="E22" s="11">
        <v>0.129238066586044</v>
      </c>
      <c r="F22" s="11">
        <v>0.100212668805579</v>
      </c>
      <c r="G22" s="6" t="s">
        <v>172</v>
      </c>
      <c r="H22" s="11">
        <v>26.5066386471164</v>
      </c>
      <c r="I22" s="6" t="s">
        <v>169</v>
      </c>
      <c r="J22" s="6" t="s">
        <v>170</v>
      </c>
    </row>
    <row r="23" ht="14.5" spans="1:10">
      <c r="A23" s="6" t="s">
        <v>141</v>
      </c>
      <c r="B23" s="11">
        <v>52.9376548828465</v>
      </c>
      <c r="C23" s="11">
        <v>65.150298314129</v>
      </c>
      <c r="D23" s="11">
        <v>81.2176699218197</v>
      </c>
      <c r="E23" s="11">
        <v>0.116681744405055</v>
      </c>
      <c r="F23" s="11">
        <v>0.0872378025518897</v>
      </c>
      <c r="G23" s="6" t="s">
        <v>172</v>
      </c>
      <c r="H23" s="11">
        <v>24.3604633739508</v>
      </c>
      <c r="I23" s="6" t="s">
        <v>169</v>
      </c>
      <c r="J23" s="6" t="s">
        <v>170</v>
      </c>
    </row>
    <row r="24" ht="14.5" spans="1:10">
      <c r="A24" s="6" t="s">
        <v>142</v>
      </c>
      <c r="B24" s="11">
        <v>56.025638924419</v>
      </c>
      <c r="C24" s="11">
        <v>66.6231382699421</v>
      </c>
      <c r="D24" s="11">
        <v>83.186071111963</v>
      </c>
      <c r="E24" s="11">
        <v>0.124386443558319</v>
      </c>
      <c r="F24" s="11">
        <v>0.0951993250102626</v>
      </c>
      <c r="G24" s="6" t="s">
        <v>172</v>
      </c>
      <c r="H24" s="11">
        <v>23.7916696586579</v>
      </c>
      <c r="I24" s="6" t="s">
        <v>169</v>
      </c>
      <c r="J24" s="6" t="s">
        <v>170</v>
      </c>
    </row>
    <row r="25" ht="14.5" spans="1:10">
      <c r="A25" s="6" t="s">
        <v>143</v>
      </c>
      <c r="B25" s="11">
        <v>52.7631762093508</v>
      </c>
      <c r="C25" s="11">
        <v>66.7880454506712</v>
      </c>
      <c r="D25" s="11">
        <v>82.9572137419997</v>
      </c>
      <c r="E25" s="11">
        <v>0.113431317481803</v>
      </c>
      <c r="F25" s="11">
        <v>0.0838790280645293</v>
      </c>
      <c r="G25" s="6" t="s">
        <v>172</v>
      </c>
      <c r="H25" s="11">
        <v>20.1673269147141</v>
      </c>
      <c r="I25" s="6" t="s">
        <v>169</v>
      </c>
      <c r="J25" s="6" t="s">
        <v>170</v>
      </c>
    </row>
    <row r="26" ht="14.5" spans="1:10">
      <c r="A26" s="6" t="s">
        <v>144</v>
      </c>
      <c r="B26" s="11">
        <v>48.4060508186873</v>
      </c>
      <c r="C26" s="11">
        <v>63.8460401863339</v>
      </c>
      <c r="D26" s="11">
        <v>83.5117559236492</v>
      </c>
      <c r="E26" s="11">
        <v>0.106101107054568</v>
      </c>
      <c r="F26" s="11">
        <v>0.07630447728972</v>
      </c>
      <c r="G26" s="6" t="s">
        <v>172</v>
      </c>
      <c r="H26" s="11">
        <v>19.6066734149202</v>
      </c>
      <c r="I26" s="6" t="s">
        <v>169</v>
      </c>
      <c r="J26" s="6" t="s">
        <v>170</v>
      </c>
    </row>
    <row r="27" ht="14.5" spans="1:10">
      <c r="A27" s="6" t="s">
        <v>145</v>
      </c>
      <c r="B27" s="11">
        <v>46.8858361140902</v>
      </c>
      <c r="C27" s="11">
        <v>61.4207508558717</v>
      </c>
      <c r="D27" s="11">
        <v>81.7853960554351</v>
      </c>
      <c r="E27" s="11">
        <v>0.099826089596825</v>
      </c>
      <c r="F27" s="11">
        <v>0.0698202925833858</v>
      </c>
      <c r="G27" s="6" t="s">
        <v>169</v>
      </c>
      <c r="H27" s="11">
        <v>20.2470377324835</v>
      </c>
      <c r="I27" s="6" t="s">
        <v>172</v>
      </c>
      <c r="J27" s="6" t="s">
        <v>170</v>
      </c>
    </row>
    <row r="28" ht="14.5" spans="1:10">
      <c r="A28" s="6" t="s">
        <v>146</v>
      </c>
      <c r="B28" s="11">
        <v>46.7971134008495</v>
      </c>
      <c r="C28" s="11">
        <v>62.5552926336432</v>
      </c>
      <c r="D28" s="11">
        <v>82.0101677874986</v>
      </c>
      <c r="E28" s="11">
        <v>0.103484329256419</v>
      </c>
      <c r="F28" s="11">
        <v>0.0736004735649665</v>
      </c>
      <c r="G28" s="6" t="s">
        <v>169</v>
      </c>
      <c r="H28" s="11">
        <v>21.5600370746492</v>
      </c>
      <c r="I28" s="6" t="s">
        <v>172</v>
      </c>
      <c r="J28" s="6" t="s">
        <v>174</v>
      </c>
    </row>
    <row r="29" ht="14.5" spans="1:10">
      <c r="A29" s="6" t="s">
        <v>147</v>
      </c>
      <c r="B29" s="11">
        <v>43.6707341223751</v>
      </c>
      <c r="C29" s="11">
        <v>58.655541628703</v>
      </c>
      <c r="D29" s="11">
        <v>80.3212485396969</v>
      </c>
      <c r="E29" s="11">
        <v>0.0917691169329473</v>
      </c>
      <c r="F29" s="11">
        <v>0.0614947541640456</v>
      </c>
      <c r="G29" s="6" t="s">
        <v>169</v>
      </c>
      <c r="H29" s="11">
        <v>17.9424269393102</v>
      </c>
      <c r="I29" s="6" t="s">
        <v>172</v>
      </c>
      <c r="J29" s="6" t="s">
        <v>170</v>
      </c>
    </row>
    <row r="30" ht="14.5" spans="1:10">
      <c r="A30" s="6" t="s">
        <v>148</v>
      </c>
      <c r="B30" s="11">
        <v>45.5717960148404</v>
      </c>
      <c r="C30" s="11">
        <v>59.2516796233788</v>
      </c>
      <c r="D30" s="11">
        <v>81.9923687429691</v>
      </c>
      <c r="E30" s="11">
        <v>0.0928165909337021</v>
      </c>
      <c r="F30" s="11">
        <v>0.0625771439648256</v>
      </c>
      <c r="G30" s="6" t="s">
        <v>169</v>
      </c>
      <c r="H30" s="11">
        <v>17.0810786014133</v>
      </c>
      <c r="I30" s="6" t="s">
        <v>174</v>
      </c>
      <c r="J30" s="6" t="s">
        <v>172</v>
      </c>
    </row>
    <row r="31" ht="14.5" spans="1:10">
      <c r="A31" s="6" t="s">
        <v>149</v>
      </c>
      <c r="B31" s="11">
        <v>46.7354044233655</v>
      </c>
      <c r="C31" s="11">
        <v>61.300037120835</v>
      </c>
      <c r="D31" s="11">
        <v>83.5980714480609</v>
      </c>
      <c r="E31" s="11">
        <v>0.0973546386506548</v>
      </c>
      <c r="F31" s="11">
        <v>0.0672664599390099</v>
      </c>
      <c r="G31" s="6" t="s">
        <v>169</v>
      </c>
      <c r="H31" s="11">
        <v>16.9721854445543</v>
      </c>
      <c r="I31" s="6" t="s">
        <v>172</v>
      </c>
      <c r="J31" s="6" t="s">
        <v>174</v>
      </c>
    </row>
    <row r="32" ht="14.5" spans="1:10">
      <c r="A32" s="6" t="s">
        <v>150</v>
      </c>
      <c r="B32" s="11">
        <v>49.2402989223141</v>
      </c>
      <c r="C32" s="11">
        <v>63.137948254745</v>
      </c>
      <c r="D32" s="11">
        <v>83.9654988572634</v>
      </c>
      <c r="E32" s="11">
        <v>0.102128838988967</v>
      </c>
      <c r="F32" s="11">
        <v>0.0721998002885996</v>
      </c>
      <c r="G32" s="6" t="s">
        <v>172</v>
      </c>
      <c r="H32" s="11">
        <v>17.1231670082124</v>
      </c>
      <c r="I32" s="6" t="s">
        <v>169</v>
      </c>
      <c r="J32" s="6" t="s">
        <v>174</v>
      </c>
    </row>
    <row r="33" ht="14.5" spans="1:10">
      <c r="A33" s="6" t="s">
        <v>151</v>
      </c>
      <c r="B33" s="11">
        <v>50.140167539753</v>
      </c>
      <c r="C33" s="11">
        <v>64.6759095776998</v>
      </c>
      <c r="D33" s="11">
        <v>85.1190225183031</v>
      </c>
      <c r="E33" s="11">
        <v>0.106833884806439</v>
      </c>
      <c r="F33" s="11">
        <v>0.0770616809666536</v>
      </c>
      <c r="G33" s="6" t="s">
        <v>169</v>
      </c>
      <c r="H33" s="11">
        <v>18.4675842991812</v>
      </c>
      <c r="I33" s="6" t="s">
        <v>174</v>
      </c>
      <c r="J33" s="6" t="s">
        <v>172</v>
      </c>
    </row>
    <row r="34" ht="14.5" spans="1:10">
      <c r="A34" s="6" t="s">
        <v>152</v>
      </c>
      <c r="B34" s="11">
        <v>50.2022182156125</v>
      </c>
      <c r="C34" s="11">
        <v>62.0858683020309</v>
      </c>
      <c r="D34" s="11">
        <v>83.4463892213978</v>
      </c>
      <c r="E34" s="11">
        <v>0.103964282122202</v>
      </c>
      <c r="F34" s="11">
        <v>0.0740964248596083</v>
      </c>
      <c r="G34" s="6" t="s">
        <v>174</v>
      </c>
      <c r="H34" s="11">
        <v>18.6109553701826</v>
      </c>
      <c r="I34" s="6" t="s">
        <v>169</v>
      </c>
      <c r="J34" s="6" t="s">
        <v>172</v>
      </c>
    </row>
    <row r="35" ht="14.5" spans="1:10">
      <c r="A35" s="6" t="s">
        <v>153</v>
      </c>
      <c r="B35" s="11">
        <v>55.3319794771457</v>
      </c>
      <c r="C35" s="11">
        <v>67.678591164526</v>
      </c>
      <c r="D35" s="11">
        <v>86.8622545123402</v>
      </c>
      <c r="E35" s="11">
        <v>0.12291619837844</v>
      </c>
      <c r="F35" s="11">
        <v>0.0936800716577216</v>
      </c>
      <c r="G35" s="6" t="s">
        <v>174</v>
      </c>
      <c r="H35" s="11">
        <v>23.2310708133344</v>
      </c>
      <c r="I35" s="6" t="s">
        <v>172</v>
      </c>
      <c r="J35" s="6" t="s">
        <v>169</v>
      </c>
    </row>
    <row r="36" ht="14.5" spans="1:10">
      <c r="A36" s="6" t="s">
        <v>154</v>
      </c>
      <c r="B36" s="11">
        <v>50.538722781185</v>
      </c>
      <c r="C36" s="11">
        <v>67.1848176258414</v>
      </c>
      <c r="D36" s="11">
        <v>87.057541209913</v>
      </c>
      <c r="E36" s="11">
        <v>0.112419266109181</v>
      </c>
      <c r="F36" s="11">
        <v>0.0828332416461534</v>
      </c>
      <c r="G36" s="6" t="s">
        <v>174</v>
      </c>
      <c r="H36" s="11">
        <v>21.711000710019</v>
      </c>
      <c r="I36" s="6" t="s">
        <v>172</v>
      </c>
      <c r="J36" s="6" t="s">
        <v>169</v>
      </c>
    </row>
    <row r="37" ht="14.5" spans="1:10">
      <c r="A37" s="6" t="s">
        <v>155</v>
      </c>
      <c r="B37" s="11">
        <v>50.584340793023</v>
      </c>
      <c r="C37" s="11">
        <v>67.0400810553404</v>
      </c>
      <c r="D37" s="11">
        <v>86.7180762022597</v>
      </c>
      <c r="E37" s="11">
        <v>0.110734422260364</v>
      </c>
      <c r="F37" s="11">
        <v>0.0810922363357094</v>
      </c>
      <c r="G37" s="6" t="s">
        <v>174</v>
      </c>
      <c r="H37" s="11">
        <v>18.7559854820095</v>
      </c>
      <c r="I37" s="6" t="s">
        <v>172</v>
      </c>
      <c r="J37" s="6" t="s">
        <v>169</v>
      </c>
    </row>
    <row r="38" ht="14.5" spans="1:10">
      <c r="A38" s="6" t="s">
        <v>156</v>
      </c>
      <c r="B38" s="11">
        <v>63.4893936607099</v>
      </c>
      <c r="C38" s="11">
        <v>79.506671510867</v>
      </c>
      <c r="D38" s="11">
        <v>91.923857281781</v>
      </c>
      <c r="E38" s="11">
        <v>0.189711125051407</v>
      </c>
      <c r="F38" s="11">
        <v>0.162701495886454</v>
      </c>
      <c r="G38" s="6" t="s">
        <v>174</v>
      </c>
      <c r="H38" s="11">
        <v>36.829332192166</v>
      </c>
      <c r="I38" s="6" t="s">
        <v>175</v>
      </c>
      <c r="J38" s="6" t="s">
        <v>172</v>
      </c>
    </row>
    <row r="40" ht="13" customHeight="1" spans="1:10">
      <c r="A40" s="2" t="s">
        <v>176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0"/>
  <sheetViews>
    <sheetView zoomScale="70" zoomScaleNormal="70" workbookViewId="0">
      <selection activeCell="A27" sqref="$A27:$XFD27"/>
    </sheetView>
  </sheetViews>
  <sheetFormatPr defaultColWidth="9" defaultRowHeight="14"/>
  <cols>
    <col min="1" max="32" width="10" customWidth="1"/>
  </cols>
  <sheetData>
    <row r="1" ht="22" customHeight="1" spans="1:32">
      <c r="A1" s="1" t="s">
        <v>177</v>
      </c>
    </row>
    <row r="2" spans="1:32">
      <c r="A2" s="2" t="s">
        <v>178</v>
      </c>
    </row>
    <row r="4" ht="14.5" spans="1:32">
      <c r="A4" s="3" t="s">
        <v>91</v>
      </c>
      <c r="B4" s="3" t="s">
        <v>92</v>
      </c>
      <c r="C4" s="3" t="s">
        <v>93</v>
      </c>
      <c r="D4" s="3" t="s">
        <v>94</v>
      </c>
      <c r="E4" s="3" t="s">
        <v>95</v>
      </c>
      <c r="F4" s="3" t="s">
        <v>96</v>
      </c>
      <c r="G4" s="3" t="s">
        <v>97</v>
      </c>
      <c r="H4" s="3" t="s">
        <v>98</v>
      </c>
      <c r="I4" s="3" t="s">
        <v>99</v>
      </c>
      <c r="J4" s="3" t="s">
        <v>100</v>
      </c>
      <c r="K4" s="3" t="s">
        <v>101</v>
      </c>
      <c r="L4" s="3" t="s">
        <v>102</v>
      </c>
      <c r="M4" s="3" t="s">
        <v>103</v>
      </c>
      <c r="N4" s="3" t="s">
        <v>104</v>
      </c>
      <c r="O4" s="3" t="s">
        <v>105</v>
      </c>
      <c r="P4" s="3" t="s">
        <v>106</v>
      </c>
      <c r="Q4" s="3" t="s">
        <v>107</v>
      </c>
      <c r="R4" s="3" t="s">
        <v>108</v>
      </c>
      <c r="S4" s="3" t="s">
        <v>109</v>
      </c>
      <c r="T4" s="3" t="s">
        <v>110</v>
      </c>
      <c r="U4" s="3" t="s">
        <v>111</v>
      </c>
      <c r="V4" s="3" t="s">
        <v>112</v>
      </c>
      <c r="W4" s="3" t="s">
        <v>113</v>
      </c>
      <c r="X4" s="3" t="s">
        <v>114</v>
      </c>
      <c r="Y4" s="3" t="s">
        <v>115</v>
      </c>
      <c r="Z4" s="3" t="s">
        <v>116</v>
      </c>
      <c r="AA4" s="3" t="s">
        <v>117</v>
      </c>
      <c r="AB4" s="3" t="s">
        <v>118</v>
      </c>
      <c r="AC4" s="3" t="s">
        <v>119</v>
      </c>
      <c r="AD4" s="3" t="s">
        <v>120</v>
      </c>
      <c r="AE4" s="3" t="s">
        <v>121</v>
      </c>
      <c r="AF4" s="3" t="s">
        <v>122</v>
      </c>
    </row>
    <row r="5" ht="14.5" spans="1:32">
      <c r="A5" s="6" t="s">
        <v>123</v>
      </c>
      <c r="B5" s="8">
        <v>0.17600249028449</v>
      </c>
      <c r="C5" s="8">
        <v>-1.04342825391907</v>
      </c>
      <c r="D5" s="8">
        <v>-0.0998841424883796</v>
      </c>
      <c r="E5" s="8">
        <v>-0.352541632335545</v>
      </c>
      <c r="F5" s="8">
        <v>-12.9772445673897</v>
      </c>
      <c r="G5" s="8">
        <v>-1.04929572709695</v>
      </c>
      <c r="H5" s="8">
        <v>6.1701979654333</v>
      </c>
      <c r="I5" s="8">
        <v>4.39076996774533</v>
      </c>
      <c r="J5" s="8">
        <v>0.968216961683141</v>
      </c>
      <c r="K5" s="8">
        <v>2.84674124020478</v>
      </c>
      <c r="L5" s="8">
        <v>11.4988010794934</v>
      </c>
      <c r="M5" s="8">
        <v>-1.54209782440639</v>
      </c>
      <c r="N5" s="8">
        <v>-1.4916698245079</v>
      </c>
      <c r="O5" s="8">
        <v>1.91358461582097</v>
      </c>
      <c r="P5" s="8">
        <v>0.690650599931929</v>
      </c>
      <c r="Q5" s="8">
        <v>0.230592558977747</v>
      </c>
      <c r="R5" s="8">
        <v>-4.55768521972878</v>
      </c>
      <c r="S5" s="8">
        <v>-4.49602403033877</v>
      </c>
      <c r="T5" s="8">
        <v>0</v>
      </c>
      <c r="U5" s="8">
        <v>1.89567238454927</v>
      </c>
      <c r="V5" s="8">
        <v>-0.7810534965551</v>
      </c>
      <c r="W5" s="8">
        <v>0.713551368461296</v>
      </c>
      <c r="X5" s="8">
        <v>-0.619897569536713</v>
      </c>
      <c r="Y5" s="8">
        <v>-1.19528497426044</v>
      </c>
      <c r="Z5" s="8">
        <v>1.9912676710259</v>
      </c>
      <c r="AA5" s="8">
        <v>2.69719280290908</v>
      </c>
      <c r="AB5" s="8">
        <v>-6.71135946968202</v>
      </c>
      <c r="AC5" s="8">
        <v>-0.98677281195603</v>
      </c>
      <c r="AD5" s="8">
        <v>0.816631893706703</v>
      </c>
      <c r="AE5" s="8">
        <v>0.9478405877773</v>
      </c>
      <c r="AF5" s="8">
        <v>-0.0434746438028842</v>
      </c>
    </row>
    <row r="6" ht="14.5" spans="1:32">
      <c r="A6" s="6" t="s">
        <v>124</v>
      </c>
      <c r="B6" s="8">
        <v>-0.201060581935778</v>
      </c>
      <c r="C6" s="8">
        <v>-0.0849297736512431</v>
      </c>
      <c r="D6" s="8">
        <v>-0.100574098848556</v>
      </c>
      <c r="E6" s="8">
        <v>-1.43220385897262</v>
      </c>
      <c r="F6" s="8">
        <v>-13.3718950026277</v>
      </c>
      <c r="G6" s="8">
        <v>-1.36171275934628</v>
      </c>
      <c r="H6" s="8">
        <v>6.55929147561176</v>
      </c>
      <c r="I6" s="8">
        <v>8.3618857612626</v>
      </c>
      <c r="J6" s="8">
        <v>1.43651298601895</v>
      </c>
      <c r="K6" s="8">
        <v>2.57945742135334</v>
      </c>
      <c r="L6" s="8">
        <v>15.8578008933236</v>
      </c>
      <c r="M6" s="8">
        <v>-1.51328495600995</v>
      </c>
      <c r="N6" s="8">
        <v>-1.71130113465647</v>
      </c>
      <c r="O6" s="8">
        <v>1.32731401845891</v>
      </c>
      <c r="P6" s="8">
        <v>1.44985415623412</v>
      </c>
      <c r="Q6" s="8">
        <v>0.207379980831745</v>
      </c>
      <c r="R6" s="8">
        <v>-7.23771211109281</v>
      </c>
      <c r="S6" s="8">
        <v>-6.00796436684913</v>
      </c>
      <c r="T6" s="8">
        <v>0.007131923440803</v>
      </c>
      <c r="U6" s="8">
        <v>0.568297731150913</v>
      </c>
      <c r="V6" s="8">
        <v>-0.910025847218875</v>
      </c>
      <c r="W6" s="8">
        <v>-1.96775040050396</v>
      </c>
      <c r="X6" s="8">
        <v>-0.517570603714893</v>
      </c>
      <c r="Y6" s="8">
        <v>-1.45157633028547</v>
      </c>
      <c r="Z6" s="8">
        <v>4.18733521126087</v>
      </c>
      <c r="AA6" s="8">
        <v>2.66875520159528</v>
      </c>
      <c r="AB6" s="8">
        <v>-7.92917517650596</v>
      </c>
      <c r="AC6" s="8">
        <v>-0.680413944782124</v>
      </c>
      <c r="AD6" s="8">
        <v>0.134921335222748</v>
      </c>
      <c r="AE6" s="8">
        <v>1.0946599032335</v>
      </c>
      <c r="AF6" s="8">
        <v>0.0385529480027459</v>
      </c>
    </row>
    <row r="7" ht="14.5" spans="1:32">
      <c r="A7" s="6" t="s">
        <v>125</v>
      </c>
      <c r="B7" s="8">
        <v>-0.151759396465254</v>
      </c>
      <c r="C7" s="8">
        <v>-0.364294838504394</v>
      </c>
      <c r="D7" s="8">
        <v>-0.267859266451208</v>
      </c>
      <c r="E7" s="8">
        <v>-2.73741997098591</v>
      </c>
      <c r="F7" s="8">
        <v>-14.8263901325633</v>
      </c>
      <c r="G7" s="8">
        <v>-1.06188906765787</v>
      </c>
      <c r="H7" s="8">
        <v>5.34389899933063</v>
      </c>
      <c r="I7" s="8">
        <v>8.72963999685572</v>
      </c>
      <c r="J7" s="8">
        <v>1.12484109668825</v>
      </c>
      <c r="K7" s="8">
        <v>2.05007549219835</v>
      </c>
      <c r="L7" s="8">
        <v>14.8795890009183</v>
      </c>
      <c r="M7" s="8">
        <v>-1.12453776573264</v>
      </c>
      <c r="N7" s="8">
        <v>-1.62922635761004</v>
      </c>
      <c r="O7" s="8">
        <v>1.77470543723715</v>
      </c>
      <c r="P7" s="8">
        <v>1.4003228550278</v>
      </c>
      <c r="Q7" s="8">
        <v>0.445811687639214</v>
      </c>
      <c r="R7" s="8">
        <v>-5.0078077374225</v>
      </c>
      <c r="S7" s="8">
        <v>-3.31780081323633</v>
      </c>
      <c r="T7" s="8">
        <v>0.0087977270216401</v>
      </c>
      <c r="U7" s="8">
        <v>0.771272676513422</v>
      </c>
      <c r="V7" s="8">
        <v>-0.764566744117339</v>
      </c>
      <c r="W7" s="8">
        <v>-1.9066694036157</v>
      </c>
      <c r="X7" s="8">
        <v>-1.084285785535</v>
      </c>
      <c r="Y7" s="8">
        <v>-1.32105177849623</v>
      </c>
      <c r="Z7" s="8">
        <v>3.78027845612519</v>
      </c>
      <c r="AA7" s="8">
        <v>1.96324938331272</v>
      </c>
      <c r="AB7" s="8">
        <v>-7.09113090097382</v>
      </c>
      <c r="AC7" s="8">
        <v>-0.318247350387925</v>
      </c>
      <c r="AD7" s="8">
        <v>-0.0341918073872575</v>
      </c>
      <c r="AE7" s="8">
        <v>0.735136783378027</v>
      </c>
      <c r="AF7" s="8">
        <v>0.0015095248962787</v>
      </c>
    </row>
    <row r="8" ht="14.5" spans="1:32">
      <c r="A8" s="6" t="s">
        <v>126</v>
      </c>
      <c r="B8" s="8">
        <v>1.1442683020253</v>
      </c>
      <c r="C8" s="8">
        <v>-1.21102291940584</v>
      </c>
      <c r="D8" s="8">
        <v>-0.285278867662255</v>
      </c>
      <c r="E8" s="8">
        <v>-5.08284151572688</v>
      </c>
      <c r="F8" s="8">
        <v>-14.3594997430181</v>
      </c>
      <c r="G8" s="8">
        <v>-0.89340737322447</v>
      </c>
      <c r="H8" s="8">
        <v>4.24681393083263</v>
      </c>
      <c r="I8" s="8">
        <v>7.60861550078626</v>
      </c>
      <c r="J8" s="8">
        <v>1.0225553974813</v>
      </c>
      <c r="K8" s="8">
        <v>1.82915983010357</v>
      </c>
      <c r="L8" s="8">
        <v>12.9786695782415</v>
      </c>
      <c r="M8" s="8">
        <v>-0.628698301693283</v>
      </c>
      <c r="N8" s="8">
        <v>-1.61821112479097</v>
      </c>
      <c r="O8" s="8">
        <v>3.13630319061833</v>
      </c>
      <c r="P8" s="8">
        <v>1.27181110514242</v>
      </c>
      <c r="Q8" s="8">
        <v>0.67412812649349</v>
      </c>
      <c r="R8" s="8">
        <v>-4.00138366967071</v>
      </c>
      <c r="S8" s="8">
        <v>-4.02705738432995</v>
      </c>
      <c r="T8" s="8">
        <v>0.0026936224811635</v>
      </c>
      <c r="U8" s="8">
        <v>0.274761350827729</v>
      </c>
      <c r="V8" s="8">
        <v>-0.462473330239707</v>
      </c>
      <c r="W8" s="8">
        <v>0.675679896728282</v>
      </c>
      <c r="X8" s="8">
        <v>-0.230381094277297</v>
      </c>
      <c r="Y8" s="8">
        <v>-1.1706223364397</v>
      </c>
      <c r="Z8" s="8">
        <v>4.39532600544544</v>
      </c>
      <c r="AA8" s="8">
        <v>1.22070697888271</v>
      </c>
      <c r="AB8" s="8">
        <v>-6.539654700836</v>
      </c>
      <c r="AC8" s="8">
        <v>-0.269502784201743</v>
      </c>
      <c r="AD8" s="8">
        <v>-0.775645124904134</v>
      </c>
      <c r="AE8" s="8">
        <v>0.972692808365382</v>
      </c>
      <c r="AF8" s="8">
        <v>0.101494645965498</v>
      </c>
    </row>
    <row r="9" ht="14.5" spans="1:32">
      <c r="A9" s="6" t="s">
        <v>127</v>
      </c>
      <c r="B9" s="8">
        <v>1.57152901907026</v>
      </c>
      <c r="C9" s="8">
        <v>-1.03034319053093</v>
      </c>
      <c r="D9" s="8">
        <v>-0.196929655782868</v>
      </c>
      <c r="E9" s="8">
        <v>-5.74842065481332</v>
      </c>
      <c r="F9" s="8">
        <v>-13.7423197819139</v>
      </c>
      <c r="G9" s="8">
        <v>-0.532988069855944</v>
      </c>
      <c r="H9" s="8">
        <v>4.50702332861807</v>
      </c>
      <c r="I9" s="8">
        <v>11.2021956526209</v>
      </c>
      <c r="J9" s="8">
        <v>0.653695486698081</v>
      </c>
      <c r="K9" s="8">
        <v>0.997997716353054</v>
      </c>
      <c r="L9" s="8">
        <v>14.9654144854852</v>
      </c>
      <c r="M9" s="8">
        <v>-1.9608990536261</v>
      </c>
      <c r="N9" s="8">
        <v>-1.95996015586539</v>
      </c>
      <c r="O9" s="8">
        <v>3.0179934198657</v>
      </c>
      <c r="P9" s="8">
        <v>1.14169420954525</v>
      </c>
      <c r="Q9" s="8">
        <v>0.628602598573334</v>
      </c>
      <c r="R9" s="8">
        <v>-6.00123781388959</v>
      </c>
      <c r="S9" s="8">
        <v>-2.89069274660129</v>
      </c>
      <c r="T9" s="8">
        <v>0</v>
      </c>
      <c r="U9" s="8">
        <v>0.187873067194834</v>
      </c>
      <c r="V9" s="8">
        <v>-0.960497167046938</v>
      </c>
      <c r="W9" s="8">
        <v>-0.253595752383224</v>
      </c>
      <c r="X9" s="8">
        <v>-0.785570191219886</v>
      </c>
      <c r="Y9" s="8">
        <v>-1.15814274224807</v>
      </c>
      <c r="Z9" s="8">
        <v>4.44800267217951</v>
      </c>
      <c r="AA9" s="8">
        <v>1.17131238573376</v>
      </c>
      <c r="AB9" s="8">
        <v>-5.97791503477634</v>
      </c>
      <c r="AC9" s="8">
        <v>-0.591484802024976</v>
      </c>
      <c r="AD9" s="8">
        <v>-1.26595186119494</v>
      </c>
      <c r="AE9" s="8">
        <v>0.489910960012763</v>
      </c>
      <c r="AF9" s="8">
        <v>0.073703671822958</v>
      </c>
    </row>
    <row r="10" ht="14.5" spans="1:32">
      <c r="A10" s="6" t="s">
        <v>128</v>
      </c>
      <c r="B10" s="8">
        <v>0.926649260627051</v>
      </c>
      <c r="C10" s="8">
        <v>-0.730469482817325</v>
      </c>
      <c r="D10" s="8">
        <v>-0.248761610722484</v>
      </c>
      <c r="E10" s="8">
        <v>-5.13741741741688</v>
      </c>
      <c r="F10" s="8">
        <v>-13.9867239904377</v>
      </c>
      <c r="G10" s="8">
        <v>-0.389748092810921</v>
      </c>
      <c r="H10" s="8">
        <v>6.01306272787288</v>
      </c>
      <c r="I10" s="8">
        <v>14.6917497845361</v>
      </c>
      <c r="J10" s="8">
        <v>0.431108715993394</v>
      </c>
      <c r="K10" s="8">
        <v>0.595585944046474</v>
      </c>
      <c r="L10" s="8">
        <v>13.1949380586352</v>
      </c>
      <c r="M10" s="8">
        <v>-2.03888886510043</v>
      </c>
      <c r="N10" s="8">
        <v>-2.2962889040549</v>
      </c>
      <c r="O10" s="8">
        <v>2.35437328046335</v>
      </c>
      <c r="P10" s="8">
        <v>2.11438530746425</v>
      </c>
      <c r="Q10" s="8">
        <v>0.768477583120614</v>
      </c>
      <c r="R10" s="8">
        <v>-6.39829404317506</v>
      </c>
      <c r="S10" s="8">
        <v>-2.41755897185143</v>
      </c>
      <c r="T10" s="8">
        <v>0.0039726259970007</v>
      </c>
      <c r="U10" s="8">
        <v>0.27388757568557</v>
      </c>
      <c r="V10" s="8">
        <v>-0.971688377066307</v>
      </c>
      <c r="W10" s="8">
        <v>-0.773590032966103</v>
      </c>
      <c r="X10" s="8">
        <v>-1.30287944328609</v>
      </c>
      <c r="Y10" s="8">
        <v>-1.28931667043106</v>
      </c>
      <c r="Z10" s="8">
        <v>3.61131182814561</v>
      </c>
      <c r="AA10" s="8">
        <v>0.859675931225271</v>
      </c>
      <c r="AB10" s="8">
        <v>-6.39112378932455</v>
      </c>
      <c r="AC10" s="8">
        <v>-0.819798612735811</v>
      </c>
      <c r="AD10" s="8">
        <v>-1.0548629332995</v>
      </c>
      <c r="AE10" s="8">
        <v>0.342165145064831</v>
      </c>
      <c r="AF10" s="8">
        <v>0.0660674686190417</v>
      </c>
    </row>
    <row r="11" ht="14.5" spans="1:32">
      <c r="A11" s="6" t="s">
        <v>129</v>
      </c>
      <c r="B11" s="8">
        <v>0.795448887526951</v>
      </c>
      <c r="C11" s="8">
        <v>-1.08135282673632</v>
      </c>
      <c r="D11" s="8">
        <v>-0.273720612596127</v>
      </c>
      <c r="E11" s="8">
        <v>-5.62516996341136</v>
      </c>
      <c r="F11" s="8">
        <v>-10.8649511731195</v>
      </c>
      <c r="G11" s="8">
        <v>-0.653197230106296</v>
      </c>
      <c r="H11" s="8">
        <v>5.94203512895447</v>
      </c>
      <c r="I11" s="8">
        <v>12.0632973716882</v>
      </c>
      <c r="J11" s="8">
        <v>0.365244877407478</v>
      </c>
      <c r="K11" s="8">
        <v>0.546962594376509</v>
      </c>
      <c r="L11" s="8">
        <v>15.5955934608597</v>
      </c>
      <c r="M11" s="8">
        <v>-2.06241371561131</v>
      </c>
      <c r="N11" s="8">
        <v>-1.98365829630478</v>
      </c>
      <c r="O11" s="8">
        <v>1.82133107234517</v>
      </c>
      <c r="P11" s="8">
        <v>1.37675185688281</v>
      </c>
      <c r="Q11" s="8">
        <v>1.02298224627558</v>
      </c>
      <c r="R11" s="8">
        <v>-5.70220402396709</v>
      </c>
      <c r="S11" s="8">
        <v>-4.13994482946918</v>
      </c>
      <c r="T11" s="8">
        <v>0.0669458870944584</v>
      </c>
      <c r="U11" s="8">
        <v>0.151967324125473</v>
      </c>
      <c r="V11" s="8">
        <v>-0.827135619594528</v>
      </c>
      <c r="W11" s="8">
        <v>-0.623871476213047</v>
      </c>
      <c r="X11" s="8">
        <v>-1.35280556759499</v>
      </c>
      <c r="Y11" s="8">
        <v>-1.37391386602457</v>
      </c>
      <c r="Z11" s="8">
        <v>4.43461522776525</v>
      </c>
      <c r="AA11" s="8">
        <v>1.37272369387461</v>
      </c>
      <c r="AB11" s="8">
        <v>-7.00564265017255</v>
      </c>
      <c r="AC11" s="8">
        <v>-0.891018781618676</v>
      </c>
      <c r="AD11" s="8">
        <v>-1.41607628148204</v>
      </c>
      <c r="AE11" s="8">
        <v>0.302612305230702</v>
      </c>
      <c r="AF11" s="8">
        <v>0.0185649796150912</v>
      </c>
    </row>
    <row r="12" ht="14.5" spans="1:32">
      <c r="A12" s="6" t="s">
        <v>130</v>
      </c>
      <c r="B12" s="8">
        <v>0.630626776675146</v>
      </c>
      <c r="C12" s="8">
        <v>-0.957374136021153</v>
      </c>
      <c r="D12" s="8">
        <v>-0.130835958652624</v>
      </c>
      <c r="E12" s="8">
        <v>-4.40640350054676</v>
      </c>
      <c r="F12" s="8">
        <v>-8.81647566744519</v>
      </c>
      <c r="G12" s="8">
        <v>-0.530602380477857</v>
      </c>
      <c r="H12" s="8">
        <v>6.54385206728121</v>
      </c>
      <c r="I12" s="8">
        <v>10.2469532444358</v>
      </c>
      <c r="J12" s="8">
        <v>0.228187698514407</v>
      </c>
      <c r="K12" s="8">
        <v>0.450508919078177</v>
      </c>
      <c r="L12" s="8">
        <v>13.1146515802896</v>
      </c>
      <c r="M12" s="8">
        <v>-2.30235627230401</v>
      </c>
      <c r="N12" s="8">
        <v>-2.06875608864679</v>
      </c>
      <c r="O12" s="8">
        <v>3.66074961376453</v>
      </c>
      <c r="P12" s="8">
        <v>0.681703608525336</v>
      </c>
      <c r="Q12" s="8">
        <v>1.18394331888238</v>
      </c>
      <c r="R12" s="8">
        <v>-5.5403713542455</v>
      </c>
      <c r="S12" s="8">
        <v>-4.93778152929335</v>
      </c>
      <c r="T12" s="8">
        <v>0.0966270155067867</v>
      </c>
      <c r="U12" s="8">
        <v>0.146707519716787</v>
      </c>
      <c r="V12" s="8">
        <v>-0.810935132048909</v>
      </c>
      <c r="W12" s="8">
        <v>0.949992650252563</v>
      </c>
      <c r="X12" s="8">
        <v>-0.764110123857902</v>
      </c>
      <c r="Y12" s="8">
        <v>-1.50170135495023</v>
      </c>
      <c r="Z12" s="8">
        <v>1.73607731411735</v>
      </c>
      <c r="AA12" s="8">
        <v>2.4051228820524</v>
      </c>
      <c r="AB12" s="8">
        <v>-7.27459939857925</v>
      </c>
      <c r="AC12" s="8">
        <v>-0.822136962919539</v>
      </c>
      <c r="AD12" s="8">
        <v>-1.34436718091419</v>
      </c>
      <c r="AE12" s="8">
        <v>0.140042931829435</v>
      </c>
      <c r="AF12" s="8">
        <v>-0.0069401000186231</v>
      </c>
    </row>
    <row r="13" ht="14.5" spans="1:32">
      <c r="A13" s="6" t="s">
        <v>131</v>
      </c>
      <c r="B13" s="8">
        <v>2.83975616339733</v>
      </c>
      <c r="C13" s="8">
        <v>-1.13750269055204</v>
      </c>
      <c r="D13" s="8">
        <v>-0.239974203461129</v>
      </c>
      <c r="E13" s="8">
        <v>-3.19236522991913</v>
      </c>
      <c r="F13" s="8">
        <v>-9.47231327292646</v>
      </c>
      <c r="G13" s="8">
        <v>-0.935359655524098</v>
      </c>
      <c r="H13" s="8">
        <v>2.16378322263059</v>
      </c>
      <c r="I13" s="8">
        <v>7.96276464369365</v>
      </c>
      <c r="J13" s="8">
        <v>0.173349452497235</v>
      </c>
      <c r="K13" s="8">
        <v>0.572405243669085</v>
      </c>
      <c r="L13" s="8">
        <v>18.9240040709611</v>
      </c>
      <c r="M13" s="8">
        <v>-2.4473060106499</v>
      </c>
      <c r="N13" s="8">
        <v>-2.29821350339974</v>
      </c>
      <c r="O13" s="8">
        <v>1.8623267906617</v>
      </c>
      <c r="P13" s="8">
        <v>0.579908566880959</v>
      </c>
      <c r="Q13" s="8">
        <v>0.934333972737692</v>
      </c>
      <c r="R13" s="8">
        <v>-8.56473114812113</v>
      </c>
      <c r="S13" s="8">
        <v>-5.86347933333735</v>
      </c>
      <c r="T13" s="8">
        <v>0.103787217189269</v>
      </c>
      <c r="U13" s="8">
        <v>0.287396451911059</v>
      </c>
      <c r="V13" s="8">
        <v>-0.920503365992173</v>
      </c>
      <c r="W13" s="8">
        <v>1.02172098308066</v>
      </c>
      <c r="X13" s="8">
        <v>-0.798722579260593</v>
      </c>
      <c r="Y13" s="8">
        <v>-1.29376766329742</v>
      </c>
      <c r="Z13" s="8">
        <v>5.1577018153762</v>
      </c>
      <c r="AA13" s="8">
        <v>2.7000382811803</v>
      </c>
      <c r="AB13" s="8">
        <v>-6.21893501548767</v>
      </c>
      <c r="AC13" s="8">
        <v>-0.7899278208162</v>
      </c>
      <c r="AD13" s="8">
        <v>-1.65291238705</v>
      </c>
      <c r="AE13" s="8">
        <v>0.400480044616898</v>
      </c>
      <c r="AF13" s="8">
        <v>0.14225695931126</v>
      </c>
    </row>
    <row r="14" ht="14.5" spans="1:32">
      <c r="A14" s="6" t="s">
        <v>132</v>
      </c>
      <c r="B14" s="8">
        <v>1.66602182469677</v>
      </c>
      <c r="C14" s="8">
        <v>-1.2049037443959</v>
      </c>
      <c r="D14" s="8">
        <v>-0.293430367928488</v>
      </c>
      <c r="E14" s="8">
        <v>-4.48292744677181</v>
      </c>
      <c r="F14" s="8">
        <v>-7.53619573405714</v>
      </c>
      <c r="G14" s="8">
        <v>-1.44910250632127</v>
      </c>
      <c r="H14" s="8">
        <v>2.21657699839801</v>
      </c>
      <c r="I14" s="8">
        <v>8.45457140677249</v>
      </c>
      <c r="J14" s="8">
        <v>0.350798820813532</v>
      </c>
      <c r="K14" s="8">
        <v>0.67145830209565</v>
      </c>
      <c r="L14" s="8">
        <v>23.781032736026</v>
      </c>
      <c r="M14" s="8">
        <v>-2.65142739755318</v>
      </c>
      <c r="N14" s="8">
        <v>-2.08777791573778</v>
      </c>
      <c r="O14" s="8">
        <v>0.424794661384172</v>
      </c>
      <c r="P14" s="8">
        <v>1.65944488791811</v>
      </c>
      <c r="Q14" s="8">
        <v>0.517752087692771</v>
      </c>
      <c r="R14" s="8">
        <v>-10.1215603586529</v>
      </c>
      <c r="S14" s="8">
        <v>-6.95590115104655</v>
      </c>
      <c r="T14" s="8">
        <v>0</v>
      </c>
      <c r="U14" s="8">
        <v>0.0555026789026238</v>
      </c>
      <c r="V14" s="8">
        <v>-1.02363662889967</v>
      </c>
      <c r="W14" s="8">
        <v>2.71678569539996</v>
      </c>
      <c r="X14" s="8">
        <v>-0.990662002869157</v>
      </c>
      <c r="Y14" s="8">
        <v>-1.52439536917347</v>
      </c>
      <c r="Z14" s="8">
        <v>4.62534224152429</v>
      </c>
      <c r="AA14" s="8">
        <v>2.63731241846973</v>
      </c>
      <c r="AB14" s="8">
        <v>-7.23933335707148</v>
      </c>
      <c r="AC14" s="8">
        <v>-0.869003137533138</v>
      </c>
      <c r="AD14" s="8">
        <v>-1.63607596962696</v>
      </c>
      <c r="AE14" s="8">
        <v>0.179354449537437</v>
      </c>
      <c r="AF14" s="8">
        <v>0.109583878007346</v>
      </c>
    </row>
    <row r="15" ht="14.5" spans="1:32">
      <c r="A15" s="6" t="s">
        <v>133</v>
      </c>
      <c r="B15" s="8">
        <v>1.72987503739542</v>
      </c>
      <c r="C15" s="8">
        <v>0.133283215610268</v>
      </c>
      <c r="D15" s="8">
        <v>-0.335664137193913</v>
      </c>
      <c r="E15" s="8">
        <v>-4.47916507143532</v>
      </c>
      <c r="F15" s="8">
        <v>-9.80930099180055</v>
      </c>
      <c r="G15" s="8">
        <v>-0.072174118606668</v>
      </c>
      <c r="H15" s="8">
        <v>2.90311791943047</v>
      </c>
      <c r="I15" s="8">
        <v>9.82473154272693</v>
      </c>
      <c r="J15" s="8">
        <v>0.141228873246088</v>
      </c>
      <c r="K15" s="8">
        <v>0.942917397079423</v>
      </c>
      <c r="L15" s="8">
        <v>15.7027613995015</v>
      </c>
      <c r="M15" s="8">
        <v>-2.52194663801611</v>
      </c>
      <c r="N15" s="8">
        <v>-1.02707834491025</v>
      </c>
      <c r="O15" s="8">
        <v>0.230959637969165</v>
      </c>
      <c r="P15" s="8">
        <v>2.68447683062782</v>
      </c>
      <c r="Q15" s="8">
        <v>0.659781201879595</v>
      </c>
      <c r="R15" s="8">
        <v>-9.39870229373694</v>
      </c>
      <c r="S15" s="8">
        <v>-6.65901504965846</v>
      </c>
      <c r="T15" s="8">
        <v>0</v>
      </c>
      <c r="U15" s="8">
        <v>0.203708863762232</v>
      </c>
      <c r="V15" s="8">
        <v>-1.05008024340702</v>
      </c>
      <c r="W15" s="8">
        <v>6.4219051110803</v>
      </c>
      <c r="X15" s="8">
        <v>-0.0126689338801622</v>
      </c>
      <c r="Y15" s="8">
        <v>-0.255892083916017</v>
      </c>
      <c r="Z15" s="8">
        <v>2.28974276489218</v>
      </c>
      <c r="AA15" s="8">
        <v>1.57706550491461</v>
      </c>
      <c r="AB15" s="8">
        <v>-8.10925465801433</v>
      </c>
      <c r="AC15" s="8">
        <v>-0.961541794128431</v>
      </c>
      <c r="AD15" s="8">
        <v>-0.934813475792388</v>
      </c>
      <c r="AE15" s="8">
        <v>0.130759439037629</v>
      </c>
      <c r="AF15" s="8">
        <v>0.0509830953429314</v>
      </c>
    </row>
    <row r="16" ht="14.5" spans="1:32">
      <c r="A16" s="6" t="s">
        <v>134</v>
      </c>
      <c r="B16" s="8">
        <v>0.790314225365382</v>
      </c>
      <c r="C16" s="8">
        <v>0.767030552925438</v>
      </c>
      <c r="D16" s="8">
        <v>-0.182548096781677</v>
      </c>
      <c r="E16" s="8">
        <v>-2.33331357353293</v>
      </c>
      <c r="F16" s="8">
        <v>-11.566675607243</v>
      </c>
      <c r="G16" s="8">
        <v>0.440567564607033</v>
      </c>
      <c r="H16" s="8">
        <v>1.34647087805359</v>
      </c>
      <c r="I16" s="8">
        <v>9.85623956491208</v>
      </c>
      <c r="J16" s="8">
        <v>0.357355630896536</v>
      </c>
      <c r="K16" s="8">
        <v>0.728506728911747</v>
      </c>
      <c r="L16" s="8">
        <v>14.8417612056336</v>
      </c>
      <c r="M16" s="8">
        <v>-2.70039314000935</v>
      </c>
      <c r="N16" s="8">
        <v>-1.42884076543561</v>
      </c>
      <c r="O16" s="8">
        <v>0.0167103803658232</v>
      </c>
      <c r="P16" s="8">
        <v>1.67472771199292</v>
      </c>
      <c r="Q16" s="8">
        <v>0.475113734754199</v>
      </c>
      <c r="R16" s="8">
        <v>-8.68411654976773</v>
      </c>
      <c r="S16" s="8">
        <v>-5.5986450223792</v>
      </c>
      <c r="T16" s="8">
        <v>0</v>
      </c>
      <c r="U16" s="8">
        <v>0.316279993919726</v>
      </c>
      <c r="V16" s="8">
        <v>-0.714551504754444</v>
      </c>
      <c r="W16" s="8">
        <v>5.97916200922797</v>
      </c>
      <c r="X16" s="8">
        <v>0.782352502267312</v>
      </c>
      <c r="Y16" s="8">
        <v>0.0953684624982527</v>
      </c>
      <c r="Z16" s="8">
        <v>2.76917805193735</v>
      </c>
      <c r="AA16" s="8">
        <v>0.794604842846466</v>
      </c>
      <c r="AB16" s="8">
        <v>-8.18860081743017</v>
      </c>
      <c r="AC16" s="8">
        <v>-0.602226361095271</v>
      </c>
      <c r="AD16" s="8">
        <v>-0.0887259790689998</v>
      </c>
      <c r="AE16" s="8">
        <v>0.0485185248480273</v>
      </c>
      <c r="AF16" s="8">
        <v>0.008374851534909</v>
      </c>
    </row>
    <row r="17" ht="14.5" spans="1:32">
      <c r="A17" s="6" t="s">
        <v>135</v>
      </c>
      <c r="B17" s="8">
        <v>1.7519436504273</v>
      </c>
      <c r="C17" s="8">
        <v>1.16341286552327</v>
      </c>
      <c r="D17" s="8">
        <v>-0.242232529767355</v>
      </c>
      <c r="E17" s="8">
        <v>-2.59677357829354</v>
      </c>
      <c r="F17" s="8">
        <v>-13.0747625344303</v>
      </c>
      <c r="G17" s="8">
        <v>0.859868508679354</v>
      </c>
      <c r="H17" s="8">
        <v>1.14981706546752</v>
      </c>
      <c r="I17" s="8">
        <v>8.71417822574449</v>
      </c>
      <c r="J17" s="8">
        <v>0.543887143996605</v>
      </c>
      <c r="K17" s="8">
        <v>0.806283380035663</v>
      </c>
      <c r="L17" s="8">
        <v>13.4370198796146</v>
      </c>
      <c r="M17" s="8">
        <v>-1.2255706326074</v>
      </c>
      <c r="N17" s="8">
        <v>-1.70034154806811</v>
      </c>
      <c r="O17" s="8">
        <v>0.152312217746364</v>
      </c>
      <c r="P17" s="8">
        <v>1.25517559887905</v>
      </c>
      <c r="Q17" s="8">
        <v>0.476468440701385</v>
      </c>
      <c r="R17" s="8">
        <v>-5.49359125368904</v>
      </c>
      <c r="S17" s="8">
        <v>-6.09385386638228</v>
      </c>
      <c r="T17" s="8">
        <v>0.0004688277189702</v>
      </c>
      <c r="U17" s="8">
        <v>0.496441677507422</v>
      </c>
      <c r="V17" s="8">
        <v>-0.779926136918238</v>
      </c>
      <c r="W17" s="8">
        <v>4.56034231328776</v>
      </c>
      <c r="X17" s="8">
        <v>1.0486889429267</v>
      </c>
      <c r="Y17" s="8">
        <v>-0.19525034963298</v>
      </c>
      <c r="Z17" s="8">
        <v>2.01183021377936</v>
      </c>
      <c r="AA17" s="8">
        <v>0.350629703184712</v>
      </c>
      <c r="AB17" s="8">
        <v>-8.01358647607423</v>
      </c>
      <c r="AC17" s="8">
        <v>-0.242031949033391</v>
      </c>
      <c r="AD17" s="8">
        <v>0.717955177850163</v>
      </c>
      <c r="AE17" s="8">
        <v>0.0555536139940754</v>
      </c>
      <c r="AF17" s="8">
        <v>0.105643407832172</v>
      </c>
    </row>
    <row r="18" ht="14.5" spans="1:32">
      <c r="A18" s="6" t="s">
        <v>136</v>
      </c>
      <c r="B18" s="8">
        <v>0.820636550439041</v>
      </c>
      <c r="C18" s="8">
        <v>0.364549548374704</v>
      </c>
      <c r="D18" s="8">
        <v>-0.23764835970609</v>
      </c>
      <c r="E18" s="8">
        <v>-1.78525717055842</v>
      </c>
      <c r="F18" s="8">
        <v>-11.3083681667815</v>
      </c>
      <c r="G18" s="8">
        <v>1.34221305235322</v>
      </c>
      <c r="H18" s="8">
        <v>-0.0672502512265187</v>
      </c>
      <c r="I18" s="8">
        <v>6.57838683334078</v>
      </c>
      <c r="J18" s="8">
        <v>0.382034487087735</v>
      </c>
      <c r="K18" s="8">
        <v>0.544139102804622</v>
      </c>
      <c r="L18" s="8">
        <v>15.810631333307</v>
      </c>
      <c r="M18" s="8">
        <v>-2.35323343422014</v>
      </c>
      <c r="N18" s="8">
        <v>-2.03211695231511</v>
      </c>
      <c r="O18" s="8">
        <v>-0.0347023516180521</v>
      </c>
      <c r="P18" s="8">
        <v>0.320148239556147</v>
      </c>
      <c r="Q18" s="8">
        <v>0.527295943092005</v>
      </c>
      <c r="R18" s="8">
        <v>-7.35753876487353</v>
      </c>
      <c r="S18" s="8">
        <v>-7.63796708093798</v>
      </c>
      <c r="T18" s="8">
        <v>0</v>
      </c>
      <c r="U18" s="8">
        <v>0.211724793610926</v>
      </c>
      <c r="V18" s="8">
        <v>-0.710494422412161</v>
      </c>
      <c r="W18" s="8">
        <v>12.4383307171754</v>
      </c>
      <c r="X18" s="8">
        <v>0.330011644731465</v>
      </c>
      <c r="Y18" s="8">
        <v>0.019504832435772</v>
      </c>
      <c r="Z18" s="8">
        <v>1.53661175088571</v>
      </c>
      <c r="AA18" s="8">
        <v>-0.0233623581789537</v>
      </c>
      <c r="AB18" s="8">
        <v>-8.09400038086776</v>
      </c>
      <c r="AC18" s="8">
        <v>-0.337498120106373</v>
      </c>
      <c r="AD18" s="8">
        <v>0.495413411309</v>
      </c>
      <c r="AE18" s="8">
        <v>0.062715716449502</v>
      </c>
      <c r="AF18" s="8">
        <v>0.195089856849535</v>
      </c>
    </row>
    <row r="19" ht="14.5" spans="1:32">
      <c r="A19" s="6" t="s">
        <v>137</v>
      </c>
      <c r="B19" s="8">
        <v>0.579270831939452</v>
      </c>
      <c r="C19" s="8">
        <v>0.757202511978084</v>
      </c>
      <c r="D19" s="8">
        <v>-0.212902823741785</v>
      </c>
      <c r="E19" s="8">
        <v>1.63731182295872</v>
      </c>
      <c r="F19" s="8">
        <v>-12.099919444993</v>
      </c>
      <c r="G19" s="8">
        <v>0.175908225193271</v>
      </c>
      <c r="H19" s="8">
        <v>-1.33072222730187</v>
      </c>
      <c r="I19" s="8">
        <v>4.622135189264</v>
      </c>
      <c r="J19" s="8">
        <v>0.312790400666552</v>
      </c>
      <c r="K19" s="8">
        <v>0.470619846344695</v>
      </c>
      <c r="L19" s="8">
        <v>15.390925294296</v>
      </c>
      <c r="M19" s="8">
        <v>-2.55406459034747</v>
      </c>
      <c r="N19" s="8">
        <v>-2.07721146839264</v>
      </c>
      <c r="O19" s="8">
        <v>0.119966611493183</v>
      </c>
      <c r="P19" s="8">
        <v>0.321971402508369</v>
      </c>
      <c r="Q19" s="8">
        <v>0.260953786778672</v>
      </c>
      <c r="R19" s="8">
        <v>-8.55358262568189</v>
      </c>
      <c r="S19" s="8">
        <v>-6.99744992449871</v>
      </c>
      <c r="T19" s="8">
        <v>0.0466104678465835</v>
      </c>
      <c r="U19" s="8">
        <v>0.139373411231106</v>
      </c>
      <c r="V19" s="8">
        <v>-0.864385440586856</v>
      </c>
      <c r="W19" s="8">
        <v>18.3959666138434</v>
      </c>
      <c r="X19" s="8">
        <v>-0.922892305967248</v>
      </c>
      <c r="Y19" s="8">
        <v>0.103440907384802</v>
      </c>
      <c r="Z19" s="8">
        <v>0.902820948875339</v>
      </c>
      <c r="AA19" s="8">
        <v>-0.448460355936872</v>
      </c>
      <c r="AB19" s="8">
        <v>-8.11305688890926</v>
      </c>
      <c r="AC19" s="8">
        <v>-0.51187759297822</v>
      </c>
      <c r="AD19" s="8">
        <v>0.157321960522825</v>
      </c>
      <c r="AE19" s="8">
        <v>0.188356092211902</v>
      </c>
      <c r="AF19" s="8">
        <v>0.103579363998855</v>
      </c>
    </row>
    <row r="20" ht="14.5" spans="1:32">
      <c r="A20" s="6" t="s">
        <v>138</v>
      </c>
      <c r="B20" s="8">
        <v>0.331831135363804</v>
      </c>
      <c r="C20" s="8">
        <v>0.259640312195736</v>
      </c>
      <c r="D20" s="8">
        <v>-0.0306485388240648</v>
      </c>
      <c r="E20" s="8">
        <v>0.0585941976149531</v>
      </c>
      <c r="F20" s="8">
        <v>-9.83510252202359</v>
      </c>
      <c r="G20" s="8">
        <v>1.7360236574626</v>
      </c>
      <c r="H20" s="8">
        <v>-0.909575934956239</v>
      </c>
      <c r="I20" s="8">
        <v>5.19953791527845</v>
      </c>
      <c r="J20" s="8">
        <v>0.129154988956359</v>
      </c>
      <c r="K20" s="8">
        <v>0.663678191790857</v>
      </c>
      <c r="L20" s="8">
        <v>13.4875915762487</v>
      </c>
      <c r="M20" s="8">
        <v>-2.52161331999183</v>
      </c>
      <c r="N20" s="8">
        <v>-2.02462541459752</v>
      </c>
      <c r="O20" s="8">
        <v>0.538766960317142</v>
      </c>
      <c r="P20" s="8">
        <v>-0.025067074328086</v>
      </c>
      <c r="Q20" s="8">
        <v>0.230410391653072</v>
      </c>
      <c r="R20" s="8">
        <v>-8.91427707116884</v>
      </c>
      <c r="S20" s="8">
        <v>-6.90140759681271</v>
      </c>
      <c r="T20" s="8">
        <v>0.0570679779828388</v>
      </c>
      <c r="U20" s="8">
        <v>0.223334719124817</v>
      </c>
      <c r="V20" s="8">
        <v>-0.737981329072003</v>
      </c>
      <c r="W20" s="8">
        <v>16.3806148763393</v>
      </c>
      <c r="X20" s="8">
        <v>-0.219643630912418</v>
      </c>
      <c r="Y20" s="8">
        <v>0.532861198283748</v>
      </c>
      <c r="Z20" s="8">
        <v>0.843540945259388</v>
      </c>
      <c r="AA20" s="8">
        <v>0.0622368737545997</v>
      </c>
      <c r="AB20" s="8">
        <v>-7.66822024492936</v>
      </c>
      <c r="AC20" s="8">
        <v>-0.967283738376159</v>
      </c>
      <c r="AD20" s="8">
        <v>-0.260081622983607</v>
      </c>
      <c r="AE20" s="8">
        <v>0.206171281036314</v>
      </c>
      <c r="AF20" s="8">
        <v>0.0744708403137603</v>
      </c>
    </row>
    <row r="21" ht="14.5" spans="1:32">
      <c r="A21" s="6" t="s">
        <v>139</v>
      </c>
      <c r="B21" s="8">
        <v>1.30915248665552</v>
      </c>
      <c r="C21" s="8">
        <v>1.15741326502479</v>
      </c>
      <c r="D21" s="8">
        <v>0.0488855441713597</v>
      </c>
      <c r="E21" s="8">
        <v>0.218202208022113</v>
      </c>
      <c r="F21" s="8">
        <v>-11.7620218349784</v>
      </c>
      <c r="G21" s="8">
        <v>0.264032116374124</v>
      </c>
      <c r="H21" s="8">
        <v>-0.905246111474065</v>
      </c>
      <c r="I21" s="8">
        <v>4.28416556722789</v>
      </c>
      <c r="J21" s="8">
        <v>0.185921000834124</v>
      </c>
      <c r="K21" s="8">
        <v>0.655913290350467</v>
      </c>
      <c r="L21" s="8">
        <v>13.5996541083065</v>
      </c>
      <c r="M21" s="8">
        <v>-2.34367132726095</v>
      </c>
      <c r="N21" s="8">
        <v>-1.78182871736458</v>
      </c>
      <c r="O21" s="8">
        <v>0.809283320873065</v>
      </c>
      <c r="P21" s="8">
        <v>-0.0469801347710993</v>
      </c>
      <c r="Q21" s="8">
        <v>0.289502463082413</v>
      </c>
      <c r="R21" s="8">
        <v>-7.50813670794478</v>
      </c>
      <c r="S21" s="8">
        <v>-7.69854898836368</v>
      </c>
      <c r="T21" s="8">
        <v>0.0468884951909899</v>
      </c>
      <c r="U21" s="8">
        <v>0.231718102834705</v>
      </c>
      <c r="V21" s="8">
        <v>-0.64956912159758</v>
      </c>
      <c r="W21" s="8">
        <v>17.6510391062175</v>
      </c>
      <c r="X21" s="8">
        <v>-0.677969004680995</v>
      </c>
      <c r="Y21" s="8">
        <v>0.575932123210512</v>
      </c>
      <c r="Z21" s="8">
        <v>-0.0684864438702121</v>
      </c>
      <c r="AA21" s="8">
        <v>-0.368007498639023</v>
      </c>
      <c r="AB21" s="8">
        <v>-7.26373067960226</v>
      </c>
      <c r="AC21" s="8">
        <v>-0.580495541899609</v>
      </c>
      <c r="AD21" s="8">
        <v>-0.271300034883829</v>
      </c>
      <c r="AE21" s="8">
        <v>0.231864724964047</v>
      </c>
      <c r="AF21" s="8">
        <v>0.366424223990966</v>
      </c>
    </row>
    <row r="22" ht="14.5" spans="1:32">
      <c r="A22" s="6" t="s">
        <v>140</v>
      </c>
      <c r="B22" s="8">
        <v>0.930627589473634</v>
      </c>
      <c r="C22" s="8">
        <v>1.08483458226585</v>
      </c>
      <c r="D22" s="8">
        <v>-0.162762520154496</v>
      </c>
      <c r="E22" s="8">
        <v>1.35096639094917</v>
      </c>
      <c r="F22" s="8">
        <v>-13.2239053517256</v>
      </c>
      <c r="G22" s="8">
        <v>1.34342188477153</v>
      </c>
      <c r="H22" s="8">
        <v>-1.23741772130713</v>
      </c>
      <c r="I22" s="8">
        <v>6.5439816540792</v>
      </c>
      <c r="J22" s="8">
        <v>0.255082195064397</v>
      </c>
      <c r="K22" s="8">
        <v>0.633334387559948</v>
      </c>
      <c r="L22" s="8">
        <v>12.8694044927389</v>
      </c>
      <c r="M22" s="8">
        <v>-2.6194142811445</v>
      </c>
      <c r="N22" s="8">
        <v>-1.42234967381776</v>
      </c>
      <c r="O22" s="8">
        <v>1.01129687135585</v>
      </c>
      <c r="P22" s="8">
        <v>0.143546019112282</v>
      </c>
      <c r="Q22" s="8">
        <v>0.509640604478758</v>
      </c>
      <c r="R22" s="8">
        <v>-9.31635695101677</v>
      </c>
      <c r="S22" s="8">
        <v>-7.82261649562578</v>
      </c>
      <c r="T22" s="8">
        <v>0.0367853813804462</v>
      </c>
      <c r="U22" s="8">
        <v>0.107323779075101</v>
      </c>
      <c r="V22" s="8">
        <v>-0.65137981537926</v>
      </c>
      <c r="W22" s="8">
        <v>18.9546386471164</v>
      </c>
      <c r="X22" s="8">
        <v>-0.573314790335954</v>
      </c>
      <c r="Y22" s="8">
        <v>0.33610518149908</v>
      </c>
      <c r="Z22" s="8">
        <v>-0.495620752419157</v>
      </c>
      <c r="AA22" s="8">
        <v>-0.521783063762585</v>
      </c>
      <c r="AB22" s="8">
        <v>-7.3722772470581</v>
      </c>
      <c r="AC22" s="8">
        <v>-0.455517697107698</v>
      </c>
      <c r="AD22" s="8">
        <v>-0.80159741178288</v>
      </c>
      <c r="AE22" s="8">
        <v>0.0878851309958636</v>
      </c>
      <c r="AF22" s="8">
        <v>0.47743898072132</v>
      </c>
    </row>
    <row r="23" ht="14.5" spans="1:32">
      <c r="A23" s="6" t="s">
        <v>141</v>
      </c>
      <c r="B23" s="8">
        <v>1.4341839142694</v>
      </c>
      <c r="C23" s="8">
        <v>0.686952858066242</v>
      </c>
      <c r="D23" s="8">
        <v>-0.212853812480267</v>
      </c>
      <c r="E23" s="8">
        <v>-0.80875193571731</v>
      </c>
      <c r="F23" s="8">
        <v>-12.4306046330002</v>
      </c>
      <c r="G23" s="8">
        <v>1.19810711987699</v>
      </c>
      <c r="H23" s="8">
        <v>-1.30703178530231</v>
      </c>
      <c r="I23" s="8">
        <v>6.71219716738963</v>
      </c>
      <c r="J23" s="8">
        <v>0.306196719749062</v>
      </c>
      <c r="K23" s="8">
        <v>0.572784773858677</v>
      </c>
      <c r="L23" s="8">
        <v>12.3439943415061</v>
      </c>
      <c r="M23" s="8">
        <v>-2.39942435787278</v>
      </c>
      <c r="N23" s="8">
        <v>-1.14365804927936</v>
      </c>
      <c r="O23" s="8">
        <v>1.15066361826122</v>
      </c>
      <c r="P23" s="8">
        <v>0.247708661480313</v>
      </c>
      <c r="Q23" s="8">
        <v>0.581378951501599</v>
      </c>
      <c r="R23" s="8">
        <v>-8.66068477335404</v>
      </c>
      <c r="S23" s="8">
        <v>-8.11137374093814</v>
      </c>
      <c r="T23" s="8">
        <v>0.0507638529476417</v>
      </c>
      <c r="U23" s="8">
        <v>-0.246599036087542</v>
      </c>
      <c r="V23" s="8">
        <v>-0.558279052984011</v>
      </c>
      <c r="W23" s="8">
        <v>16.8084633739508</v>
      </c>
      <c r="X23" s="8">
        <v>-0.399113507180637</v>
      </c>
      <c r="Y23" s="8">
        <v>1.20819364367367</v>
      </c>
      <c r="Z23" s="8">
        <v>0.124802759427781</v>
      </c>
      <c r="AA23" s="8">
        <v>-0.549217771970154</v>
      </c>
      <c r="AB23" s="8">
        <v>-6.79035680111815</v>
      </c>
      <c r="AC23" s="8">
        <v>0.197056562003186</v>
      </c>
      <c r="AD23" s="8">
        <v>-0.838298769885608</v>
      </c>
      <c r="AE23" s="8">
        <v>0.0543124575507516</v>
      </c>
      <c r="AF23" s="8">
        <v>0.778487251657458</v>
      </c>
    </row>
    <row r="24" ht="14.5" spans="1:32">
      <c r="A24" s="6" t="s">
        <v>142</v>
      </c>
      <c r="B24" s="8">
        <v>1.14966457149477</v>
      </c>
      <c r="C24" s="8">
        <v>0.630690938862336</v>
      </c>
      <c r="D24" s="8">
        <v>-0.118962044459375</v>
      </c>
      <c r="E24" s="8">
        <v>-1.77246477310306</v>
      </c>
      <c r="F24" s="8">
        <v>-13.1360647343677</v>
      </c>
      <c r="G24" s="8">
        <v>1.51184354026507</v>
      </c>
      <c r="H24" s="8">
        <v>-1.60269491345999</v>
      </c>
      <c r="I24" s="8">
        <v>7.47262112021643</v>
      </c>
      <c r="J24" s="8">
        <v>0.333380933613826</v>
      </c>
      <c r="K24" s="8">
        <v>0.497787017761964</v>
      </c>
      <c r="L24" s="8">
        <v>15.2403481455446</v>
      </c>
      <c r="M24" s="8">
        <v>-2.48728889220637</v>
      </c>
      <c r="N24" s="8">
        <v>-0.844681769408263</v>
      </c>
      <c r="O24" s="8">
        <v>0.848496845006094</v>
      </c>
      <c r="P24" s="8">
        <v>0.314545331422931</v>
      </c>
      <c r="Q24" s="8">
        <v>0.71937879718272</v>
      </c>
      <c r="R24" s="8">
        <v>-9.36374178580559</v>
      </c>
      <c r="S24" s="8">
        <v>-7.99940822871168</v>
      </c>
      <c r="T24" s="8">
        <v>0.0369414568994451</v>
      </c>
      <c r="U24" s="8">
        <v>-0.19851838598704</v>
      </c>
      <c r="V24" s="8">
        <v>-0.43004362861337</v>
      </c>
      <c r="W24" s="8">
        <v>16.2396696586579</v>
      </c>
      <c r="X24" s="8">
        <v>-0.443630744620382</v>
      </c>
      <c r="Y24" s="8">
        <v>0.803493880616911</v>
      </c>
      <c r="Z24" s="8">
        <v>1.13656407989087</v>
      </c>
      <c r="AA24" s="8">
        <v>-0.402538774656731</v>
      </c>
      <c r="AB24" s="8">
        <v>-7.14501049479232</v>
      </c>
      <c r="AC24" s="8">
        <v>-0.514874663140891</v>
      </c>
      <c r="AD24" s="8">
        <v>-1.09566643066306</v>
      </c>
      <c r="AE24" s="8">
        <v>0.0176303498306088</v>
      </c>
      <c r="AF24" s="8">
        <v>0.602533596729353</v>
      </c>
    </row>
    <row r="25" ht="14.5" spans="1:32">
      <c r="A25" s="6" t="s">
        <v>143</v>
      </c>
      <c r="B25" s="8">
        <v>1.07103469908871</v>
      </c>
      <c r="C25" s="8">
        <v>0.412439084100223</v>
      </c>
      <c r="D25" s="8">
        <v>-0.180607467832704</v>
      </c>
      <c r="E25" s="8">
        <v>-1.77740453644479</v>
      </c>
      <c r="F25" s="8">
        <v>-12.7985164368145</v>
      </c>
      <c r="G25" s="8">
        <v>1.21146150576189</v>
      </c>
      <c r="H25" s="8">
        <v>-1.3214715622482</v>
      </c>
      <c r="I25" s="8">
        <v>7.74702241383588</v>
      </c>
      <c r="J25" s="8">
        <v>0.42367088507686</v>
      </c>
      <c r="K25" s="8">
        <v>0.479353381900643</v>
      </c>
      <c r="L25" s="8">
        <v>15.3278268808008</v>
      </c>
      <c r="M25" s="8">
        <v>-2.47152880370587</v>
      </c>
      <c r="N25" s="8">
        <v>-1.29378084203203</v>
      </c>
      <c r="O25" s="8">
        <v>0.554973059751629</v>
      </c>
      <c r="P25" s="8">
        <v>0.0641974040838682</v>
      </c>
      <c r="Q25" s="8">
        <v>0.559187449100686</v>
      </c>
      <c r="R25" s="8">
        <v>-9.72480825366993</v>
      </c>
      <c r="S25" s="8">
        <v>-8.07216685691065</v>
      </c>
      <c r="T25" s="8">
        <v>0.0365296671723207</v>
      </c>
      <c r="U25" s="8">
        <v>-0.229959653218012</v>
      </c>
      <c r="V25" s="8">
        <v>-0.372031752468559</v>
      </c>
      <c r="W25" s="8">
        <v>12.6153269147141</v>
      </c>
      <c r="X25" s="8">
        <v>0.367637538822537</v>
      </c>
      <c r="Y25" s="8">
        <v>0.115917231155018</v>
      </c>
      <c r="Z25" s="8">
        <v>4.22638567813485</v>
      </c>
      <c r="AA25" s="8">
        <v>0.376710914545407</v>
      </c>
      <c r="AB25" s="8">
        <v>-6.52126446387268</v>
      </c>
      <c r="AC25" s="8">
        <v>-0.448882890257207</v>
      </c>
      <c r="AD25" s="8">
        <v>-0.845546701196291</v>
      </c>
      <c r="AE25" s="8">
        <v>0.0330683361797479</v>
      </c>
      <c r="AF25" s="8">
        <v>0.435227176446247</v>
      </c>
    </row>
    <row r="26" ht="14.5" spans="1:32">
      <c r="A26" s="6" t="s">
        <v>144</v>
      </c>
      <c r="B26" s="8">
        <v>0.845635131854134</v>
      </c>
      <c r="C26" s="8">
        <v>0.107816244797782</v>
      </c>
      <c r="D26" s="8">
        <v>-0.0767251200333307</v>
      </c>
      <c r="E26" s="8">
        <v>-2.73824382342303</v>
      </c>
      <c r="F26" s="8">
        <v>-12.2196077041659</v>
      </c>
      <c r="G26" s="8">
        <v>2.08253495743694</v>
      </c>
      <c r="H26" s="8">
        <v>-0.416005409922303</v>
      </c>
      <c r="I26" s="8">
        <v>4.70926819866224</v>
      </c>
      <c r="J26" s="8">
        <v>0.412703602903099</v>
      </c>
      <c r="K26" s="8">
        <v>0.261526992011298</v>
      </c>
      <c r="L26" s="8">
        <v>14.5691092051049</v>
      </c>
      <c r="M26" s="8">
        <v>-1.99111319695656</v>
      </c>
      <c r="N26" s="8">
        <v>-1.80193613327242</v>
      </c>
      <c r="O26" s="8">
        <v>0.476034456237004</v>
      </c>
      <c r="P26" s="8">
        <v>-0.167813987216192</v>
      </c>
      <c r="Q26" s="8">
        <v>0.296104211826872</v>
      </c>
      <c r="R26" s="8">
        <v>-9.04515717583157</v>
      </c>
      <c r="S26" s="8">
        <v>-8.14564717663405</v>
      </c>
      <c r="T26" s="8">
        <v>0</v>
      </c>
      <c r="U26" s="8">
        <v>-0.351959449077826</v>
      </c>
      <c r="V26" s="8">
        <v>-0.509964169354674</v>
      </c>
      <c r="W26" s="8">
        <v>12.0546734149202</v>
      </c>
      <c r="X26" s="8">
        <v>1.57638576584039</v>
      </c>
      <c r="Y26" s="8">
        <v>0.653829137223356</v>
      </c>
      <c r="Z26" s="8">
        <v>5.06259707181249</v>
      </c>
      <c r="AA26" s="8">
        <v>0.138948347228438</v>
      </c>
      <c r="AB26" s="8">
        <v>-4.17479029976242</v>
      </c>
      <c r="AC26" s="8">
        <v>-0.601224622345808</v>
      </c>
      <c r="AD26" s="8">
        <v>-1.24322702823137</v>
      </c>
      <c r="AE26" s="8">
        <v>0.0443079064778816</v>
      </c>
      <c r="AF26" s="8">
        <v>0.191940651890433</v>
      </c>
    </row>
    <row r="27" ht="14.5" spans="1:32">
      <c r="A27" s="6" t="s">
        <v>145</v>
      </c>
      <c r="B27" s="8">
        <v>0.88459433062546</v>
      </c>
      <c r="C27" s="8">
        <v>0.008849924821737</v>
      </c>
      <c r="D27" s="8">
        <v>-0.153899154993489</v>
      </c>
      <c r="E27" s="8">
        <v>-2.84109140255129</v>
      </c>
      <c r="F27" s="8">
        <v>-11.2640730271127</v>
      </c>
      <c r="G27" s="8">
        <v>3.09089628049192</v>
      </c>
      <c r="H27" s="8">
        <v>0.254402009564701</v>
      </c>
      <c r="I27" s="8">
        <v>5.62064951041429</v>
      </c>
      <c r="J27" s="8">
        <v>0.380276063116023</v>
      </c>
      <c r="K27" s="8">
        <v>0.451564084192514</v>
      </c>
      <c r="L27" s="8">
        <v>16.1440377324835</v>
      </c>
      <c r="M27" s="8">
        <v>-2.06506037735557</v>
      </c>
      <c r="N27" s="8">
        <v>-1.60219224960025</v>
      </c>
      <c r="O27" s="8">
        <v>0.594658564028057</v>
      </c>
      <c r="P27" s="8">
        <v>-0.191811720232662</v>
      </c>
      <c r="Q27" s="8">
        <v>0.280153763853955</v>
      </c>
      <c r="R27" s="8">
        <v>-8.72171459278213</v>
      </c>
      <c r="S27" s="8">
        <v>-7.22742366038718</v>
      </c>
      <c r="T27" s="8">
        <v>0</v>
      </c>
      <c r="U27" s="8">
        <v>-0.308889285475287</v>
      </c>
      <c r="V27" s="8">
        <v>-0.665994912791449</v>
      </c>
      <c r="W27" s="8">
        <v>8.04814887119244</v>
      </c>
      <c r="X27" s="8">
        <v>1.805881199016</v>
      </c>
      <c r="Y27" s="8">
        <v>0.46441101861128</v>
      </c>
      <c r="Z27" s="8">
        <v>3.20198776889424</v>
      </c>
      <c r="AA27" s="8">
        <v>-0.334450704911203</v>
      </c>
      <c r="AB27" s="8">
        <v>-5.22744288695794</v>
      </c>
      <c r="AC27" s="8">
        <v>-0.0203071705839799</v>
      </c>
      <c r="AD27" s="8">
        <v>-1.03075163734903</v>
      </c>
      <c r="AE27" s="8">
        <v>0.155351981078943</v>
      </c>
      <c r="AF27" s="8">
        <v>0.269239680699152</v>
      </c>
    </row>
    <row r="28" ht="14.5" spans="1:32">
      <c r="A28" s="6" t="s">
        <v>146</v>
      </c>
      <c r="B28" s="8">
        <v>1.76314325946369</v>
      </c>
      <c r="C28" s="8">
        <v>0.0083256171897212</v>
      </c>
      <c r="D28" s="8">
        <v>-0.0489347068744793</v>
      </c>
      <c r="E28" s="8">
        <v>-2.89091573485719</v>
      </c>
      <c r="F28" s="8">
        <v>-8.88788330658599</v>
      </c>
      <c r="G28" s="8">
        <v>2.34551523145644</v>
      </c>
      <c r="H28" s="8">
        <v>0.745261221223515</v>
      </c>
      <c r="I28" s="8">
        <v>4.49147785274138</v>
      </c>
      <c r="J28" s="8">
        <v>0.382304190891236</v>
      </c>
      <c r="K28" s="8">
        <v>0.362656301106531</v>
      </c>
      <c r="L28" s="8">
        <v>17.4570370746492</v>
      </c>
      <c r="M28" s="8">
        <v>-1.87615996071396</v>
      </c>
      <c r="N28" s="8">
        <v>-1.94287394123544</v>
      </c>
      <c r="O28" s="8">
        <v>0.483624662453401</v>
      </c>
      <c r="P28" s="8">
        <v>-0.209341187915083</v>
      </c>
      <c r="Q28" s="8">
        <v>0.347564145785136</v>
      </c>
      <c r="R28" s="8">
        <v>-8.80284020134575</v>
      </c>
      <c r="S28" s="8">
        <v>-7.61163163351706</v>
      </c>
      <c r="T28" s="8">
        <v>0</v>
      </c>
      <c r="U28" s="8">
        <v>-0.425891011478001</v>
      </c>
      <c r="V28" s="8">
        <v>-0.905502251672206</v>
      </c>
      <c r="W28" s="8">
        <v>7.31895963278622</v>
      </c>
      <c r="X28" s="8">
        <v>1.78987117656893</v>
      </c>
      <c r="Y28" s="8">
        <v>0.315356244141734</v>
      </c>
      <c r="Z28" s="8">
        <v>2.50570138005237</v>
      </c>
      <c r="AA28" s="8">
        <v>-0.361546468424771</v>
      </c>
      <c r="AB28" s="8">
        <v>-5.86095372409551</v>
      </c>
      <c r="AC28" s="8">
        <v>0.307569612515568</v>
      </c>
      <c r="AD28" s="8">
        <v>-1.03174232077816</v>
      </c>
      <c r="AE28" s="8">
        <v>0.193912073631187</v>
      </c>
      <c r="AF28" s="8">
        <v>0.0379367728373426</v>
      </c>
    </row>
    <row r="29" ht="14.5" spans="1:32">
      <c r="A29" s="6" t="s">
        <v>147</v>
      </c>
      <c r="B29" s="8">
        <v>1.6732612259915</v>
      </c>
      <c r="C29" s="8">
        <v>0.151559470292195</v>
      </c>
      <c r="D29" s="8">
        <v>-0.0059541653459783</v>
      </c>
      <c r="E29" s="8">
        <v>-1.55138985431831</v>
      </c>
      <c r="F29" s="8">
        <v>-9.17457096444204</v>
      </c>
      <c r="G29" s="8">
        <v>1.95537847076989</v>
      </c>
      <c r="H29" s="8">
        <v>1.58657303306206</v>
      </c>
      <c r="I29" s="8">
        <v>5.08438015132655</v>
      </c>
      <c r="J29" s="8">
        <v>0.414770249984972</v>
      </c>
      <c r="K29" s="8">
        <v>0.452904864473345</v>
      </c>
      <c r="L29" s="8">
        <v>13.8394269393102</v>
      </c>
      <c r="M29" s="8">
        <v>-1.07892057576341</v>
      </c>
      <c r="N29" s="8">
        <v>-1.62260712042305</v>
      </c>
      <c r="O29" s="8">
        <v>0.430271894988454</v>
      </c>
      <c r="P29" s="8">
        <v>-0.193017099717455</v>
      </c>
      <c r="Q29" s="8">
        <v>0.285940482768521</v>
      </c>
      <c r="R29" s="8">
        <v>-8.11127779643135</v>
      </c>
      <c r="S29" s="8">
        <v>-7.88184828832168</v>
      </c>
      <c r="T29" s="8">
        <v>0</v>
      </c>
      <c r="U29" s="8">
        <v>-0.424656694822398</v>
      </c>
      <c r="V29" s="8">
        <v>-0.823461325974745</v>
      </c>
      <c r="W29" s="8">
        <v>7.67392703173839</v>
      </c>
      <c r="X29" s="8">
        <v>1.59901803296896</v>
      </c>
      <c r="Y29" s="8">
        <v>-0.231245316577218</v>
      </c>
      <c r="Z29" s="8">
        <v>0.552158410128123</v>
      </c>
      <c r="AA29" s="8">
        <v>-0.0384480781217845</v>
      </c>
      <c r="AB29" s="8">
        <v>-4.19565271084698</v>
      </c>
      <c r="AC29" s="8">
        <v>0.074259750950318</v>
      </c>
      <c r="AD29" s="8">
        <v>-0.785269822338616</v>
      </c>
      <c r="AE29" s="8">
        <v>0.181017169585765</v>
      </c>
      <c r="AF29" s="8">
        <v>0.163472635105753</v>
      </c>
    </row>
    <row r="30" ht="14.5" spans="1:32">
      <c r="A30" s="6" t="s">
        <v>148</v>
      </c>
      <c r="B30" s="8">
        <v>1.3517477390721</v>
      </c>
      <c r="C30" s="8">
        <v>-0.175620207438493</v>
      </c>
      <c r="D30" s="8">
        <v>-0.0661598117450698</v>
      </c>
      <c r="E30" s="8">
        <v>-1.55150380936877</v>
      </c>
      <c r="F30" s="8">
        <v>-4.9895024592595</v>
      </c>
      <c r="G30" s="8">
        <v>2.3225088009348</v>
      </c>
      <c r="H30" s="8">
        <v>2.63252254714884</v>
      </c>
      <c r="I30" s="8">
        <v>2.65683304131265</v>
      </c>
      <c r="J30" s="8">
        <v>0.362883134537362</v>
      </c>
      <c r="K30" s="8">
        <v>0.429197450509513</v>
      </c>
      <c r="L30" s="8">
        <v>12.9780786014133</v>
      </c>
      <c r="M30" s="8">
        <v>-0.615457400878679</v>
      </c>
      <c r="N30" s="8">
        <v>-1.45669878548084</v>
      </c>
      <c r="O30" s="8">
        <v>0.548682407051164</v>
      </c>
      <c r="P30" s="8">
        <v>-0.256960227433972</v>
      </c>
      <c r="Q30" s="8">
        <v>0.293528813951968</v>
      </c>
      <c r="R30" s="8">
        <v>-8.11850128150039</v>
      </c>
      <c r="S30" s="8">
        <v>-8.1473414312207</v>
      </c>
      <c r="T30" s="8">
        <v>0.0003739592049787</v>
      </c>
      <c r="U30" s="8">
        <v>-0.417588982808774</v>
      </c>
      <c r="V30" s="8">
        <v>-0.769958999224949</v>
      </c>
      <c r="W30" s="8">
        <v>6.67421987268657</v>
      </c>
      <c r="X30" s="8">
        <v>1.43466286237583</v>
      </c>
      <c r="Y30" s="8">
        <v>-0.178134606323124</v>
      </c>
      <c r="Z30" s="8">
        <v>-1.3393397856518</v>
      </c>
      <c r="AA30" s="8">
        <v>-0.231348259510744</v>
      </c>
      <c r="AB30" s="8">
        <v>-2.90894943277423</v>
      </c>
      <c r="AC30" s="8">
        <v>0.0969928878375003</v>
      </c>
      <c r="AD30" s="8">
        <v>-0.834174876715331</v>
      </c>
      <c r="AE30" s="8">
        <v>0.124791444668154</v>
      </c>
      <c r="AF30" s="8">
        <v>0.150216794630643</v>
      </c>
    </row>
    <row r="31" ht="14.5" spans="1:32">
      <c r="A31" s="6" t="s">
        <v>149</v>
      </c>
      <c r="B31" s="8">
        <v>0.684154655315406</v>
      </c>
      <c r="C31" s="8">
        <v>-0.0751164593068165</v>
      </c>
      <c r="D31" s="8">
        <v>-0.0466442609514305</v>
      </c>
      <c r="E31" s="8">
        <v>-2.103030330042</v>
      </c>
      <c r="F31" s="8">
        <v>-6.22090116090964</v>
      </c>
      <c r="G31" s="8">
        <v>3.33153274490517</v>
      </c>
      <c r="H31" s="8">
        <v>4.32747322730004</v>
      </c>
      <c r="I31" s="8">
        <v>1.92015947016949</v>
      </c>
      <c r="J31" s="8">
        <v>0.297318067250188</v>
      </c>
      <c r="K31" s="8">
        <v>0.414145020227705</v>
      </c>
      <c r="L31" s="8">
        <v>12.8691854445543</v>
      </c>
      <c r="M31" s="8">
        <v>-1.55430175192618</v>
      </c>
      <c r="N31" s="8">
        <v>-1.6777061456877</v>
      </c>
      <c r="O31" s="8">
        <v>0.8734519775952</v>
      </c>
      <c r="P31" s="8">
        <v>-0.220025398394851</v>
      </c>
      <c r="Q31" s="8">
        <v>0.23122255364852</v>
      </c>
      <c r="R31" s="8">
        <v>-8.81547256475672</v>
      </c>
      <c r="S31" s="8">
        <v>-7.60128513930468</v>
      </c>
      <c r="T31" s="8">
        <v>7.08191666600356e-5</v>
      </c>
      <c r="U31" s="8">
        <v>-0.362999352280386</v>
      </c>
      <c r="V31" s="8">
        <v>-0.750371012776134</v>
      </c>
      <c r="W31" s="8">
        <v>9.17812013972083</v>
      </c>
      <c r="X31" s="8">
        <v>1.18603590541438</v>
      </c>
      <c r="Y31" s="8">
        <v>-0.425134449744247</v>
      </c>
      <c r="Z31" s="8">
        <v>-1.19836150566199</v>
      </c>
      <c r="AA31" s="8">
        <v>-0.241079015943442</v>
      </c>
      <c r="AB31" s="8">
        <v>-2.93703142829499</v>
      </c>
      <c r="AC31" s="8">
        <v>-0.310747496786799</v>
      </c>
      <c r="AD31" s="8">
        <v>-0.928036212278807</v>
      </c>
      <c r="AE31" s="8">
        <v>0.0763748351105836</v>
      </c>
      <c r="AF31" s="8">
        <v>0.0789988246683204</v>
      </c>
    </row>
    <row r="32" ht="14.5" spans="1:32">
      <c r="A32" s="6" t="s">
        <v>150</v>
      </c>
      <c r="B32" s="8">
        <v>0.499987832011316</v>
      </c>
      <c r="C32" s="8">
        <v>-0.291782190633403</v>
      </c>
      <c r="D32" s="8">
        <v>0.0796047813910053</v>
      </c>
      <c r="E32" s="8">
        <v>-3.38403636024932</v>
      </c>
      <c r="F32" s="8">
        <v>-3.83531350116895</v>
      </c>
      <c r="G32" s="8">
        <v>3.03539550891998</v>
      </c>
      <c r="H32" s="8">
        <v>4.06155487555054</v>
      </c>
      <c r="I32" s="8">
        <v>1.51909445688028</v>
      </c>
      <c r="J32" s="8">
        <v>0.309551978191815</v>
      </c>
      <c r="K32" s="8">
        <v>0.374530761705321</v>
      </c>
      <c r="L32" s="8">
        <v>12.5954454152707</v>
      </c>
      <c r="M32" s="8">
        <v>-2.07888627765233</v>
      </c>
      <c r="N32" s="8">
        <v>-1.76333538110061</v>
      </c>
      <c r="O32" s="8">
        <v>0.454444702706228</v>
      </c>
      <c r="P32" s="8">
        <v>-0.0771868875859828</v>
      </c>
      <c r="Q32" s="8">
        <v>0.215088363440111</v>
      </c>
      <c r="R32" s="8">
        <v>-8.05573453979472</v>
      </c>
      <c r="S32" s="8">
        <v>-7.94340957708779</v>
      </c>
      <c r="T32" s="8">
        <v>0.0047204927511804</v>
      </c>
      <c r="U32" s="8">
        <v>-0.337533868786684</v>
      </c>
      <c r="V32" s="8">
        <v>-0.54532724456717</v>
      </c>
      <c r="W32" s="8">
        <v>9.57116700821235</v>
      </c>
      <c r="X32" s="8">
        <v>1.3049336229927</v>
      </c>
      <c r="Y32" s="8">
        <v>-0.164616278717366</v>
      </c>
      <c r="Z32" s="8">
        <v>-0.549639036809824</v>
      </c>
      <c r="AA32" s="8">
        <v>-0.0249298805000771</v>
      </c>
      <c r="AB32" s="8">
        <v>-3.70900762935025</v>
      </c>
      <c r="AC32" s="8">
        <v>-0.489427377466005</v>
      </c>
      <c r="AD32" s="8">
        <v>-0.870485784631632</v>
      </c>
      <c r="AE32" s="8">
        <v>0.0608062232031446</v>
      </c>
      <c r="AF32" s="8">
        <v>0.034325792875406</v>
      </c>
    </row>
    <row r="33" ht="14.5" spans="1:32">
      <c r="A33" s="6" t="s">
        <v>151</v>
      </c>
      <c r="B33" s="8">
        <v>0.446517305696596</v>
      </c>
      <c r="C33" s="8">
        <v>-0.1538891419267</v>
      </c>
      <c r="D33" s="8">
        <v>0.0857593246458247</v>
      </c>
      <c r="E33" s="8">
        <v>-3.08024476578896</v>
      </c>
      <c r="F33" s="8">
        <v>-1.74987545768293</v>
      </c>
      <c r="G33" s="8">
        <v>3.9417013487729</v>
      </c>
      <c r="H33" s="8">
        <v>3.75071538220738</v>
      </c>
      <c r="I33" s="8">
        <v>2.22604068917392</v>
      </c>
      <c r="J33" s="8">
        <v>0.284549631020742</v>
      </c>
      <c r="K33" s="8">
        <v>0.311927886825023</v>
      </c>
      <c r="L33" s="8">
        <v>14.3645842991812</v>
      </c>
      <c r="M33" s="8">
        <v>-2.28058618825009</v>
      </c>
      <c r="N33" s="8">
        <v>-1.99869430926107</v>
      </c>
      <c r="O33" s="8">
        <v>0.549526343500561</v>
      </c>
      <c r="P33" s="8">
        <v>0.0622438063833764</v>
      </c>
      <c r="Q33" s="8">
        <v>0.239579477554253</v>
      </c>
      <c r="R33" s="8">
        <v>-8.44470791096025</v>
      </c>
      <c r="S33" s="8">
        <v>-7.78088480690804</v>
      </c>
      <c r="T33" s="8">
        <v>0.0229454213145201</v>
      </c>
      <c r="U33" s="8">
        <v>-0.341699812727935</v>
      </c>
      <c r="V33" s="8">
        <v>-0.590892899052271</v>
      </c>
      <c r="W33" s="8">
        <v>6.61645869825465</v>
      </c>
      <c r="X33" s="8">
        <v>2.2204270437856</v>
      </c>
      <c r="Y33" s="8">
        <v>-0.627580372681744</v>
      </c>
      <c r="Z33" s="8">
        <v>-0.622032625631246</v>
      </c>
      <c r="AA33" s="8">
        <v>0.102165532733225</v>
      </c>
      <c r="AB33" s="8">
        <v>-5.58807680864052</v>
      </c>
      <c r="AC33" s="8">
        <v>-0.914940623578843</v>
      </c>
      <c r="AD33" s="8">
        <v>-1.21762416480978</v>
      </c>
      <c r="AE33" s="8">
        <v>0.0663181025862818</v>
      </c>
      <c r="AF33" s="8">
        <v>0.100269594264257</v>
      </c>
    </row>
    <row r="34" ht="14.5" spans="1:32">
      <c r="A34" s="6" t="s">
        <v>152</v>
      </c>
      <c r="B34" s="8">
        <v>0.80497642227387</v>
      </c>
      <c r="C34" s="8">
        <v>-0.268311723319389</v>
      </c>
      <c r="D34" s="8">
        <v>-0.0915939367271211</v>
      </c>
      <c r="E34" s="8">
        <v>-2.94958138659201</v>
      </c>
      <c r="F34" s="8">
        <v>-0.6430446298174</v>
      </c>
      <c r="G34" s="8">
        <v>2.42626030018937</v>
      </c>
      <c r="H34" s="8">
        <v>2.75057222193601</v>
      </c>
      <c r="I34" s="8">
        <v>0.816077864482383</v>
      </c>
      <c r="J34" s="8">
        <v>0.415482125714458</v>
      </c>
      <c r="K34" s="8">
        <v>0.563487497692661</v>
      </c>
      <c r="L34" s="8">
        <v>13.4344998567247</v>
      </c>
      <c r="M34" s="8">
        <v>-2.04874798653926</v>
      </c>
      <c r="N34" s="8">
        <v>-1.44253717269331</v>
      </c>
      <c r="O34" s="8">
        <v>0.437138743109591</v>
      </c>
      <c r="P34" s="8">
        <v>0.127796700751599</v>
      </c>
      <c r="Q34" s="8">
        <v>0.315912468521653</v>
      </c>
      <c r="R34" s="8">
        <v>-7.96484883339935</v>
      </c>
      <c r="S34" s="8">
        <v>-7.7867762176001</v>
      </c>
      <c r="T34" s="8">
        <v>0.0231446273955735</v>
      </c>
      <c r="U34" s="8">
        <v>-0.412852943401599</v>
      </c>
      <c r="V34" s="8">
        <v>-0.540550719398685</v>
      </c>
      <c r="W34" s="8">
        <v>6.50176298870518</v>
      </c>
      <c r="X34" s="8">
        <v>1.7018378542018</v>
      </c>
      <c r="Y34" s="8">
        <v>-0.389961868633682</v>
      </c>
      <c r="Z34" s="8">
        <v>-0.894865046523271</v>
      </c>
      <c r="AA34" s="8">
        <v>0.677630043257983</v>
      </c>
      <c r="AB34" s="8">
        <v>-3.48914701503287</v>
      </c>
      <c r="AC34" s="8">
        <v>-1.05084983288344</v>
      </c>
      <c r="AD34" s="8">
        <v>-1.20851603580609</v>
      </c>
      <c r="AE34" s="8">
        <v>0.0767283366910919</v>
      </c>
      <c r="AF34" s="8">
        <v>0.108877296719682</v>
      </c>
    </row>
    <row r="35" ht="14.5" spans="1:32">
      <c r="A35" s="6" t="s">
        <v>153</v>
      </c>
      <c r="B35" s="8">
        <v>0.258679202320024</v>
      </c>
      <c r="C35" s="8">
        <v>-0.0052006066009728</v>
      </c>
      <c r="D35" s="8">
        <v>-0.0712903119878536</v>
      </c>
      <c r="E35" s="8">
        <v>-1.4827434319913</v>
      </c>
      <c r="F35" s="8">
        <v>3.97707081333441</v>
      </c>
      <c r="G35" s="8">
        <v>1.61111126929318</v>
      </c>
      <c r="H35" s="8">
        <v>1.1220687747149</v>
      </c>
      <c r="I35" s="8">
        <v>-0.527535169680698</v>
      </c>
      <c r="J35" s="8">
        <v>0.176666523176546</v>
      </c>
      <c r="K35" s="8">
        <v>0.384313595791647</v>
      </c>
      <c r="L35" s="8">
        <v>11.4171784838221</v>
      </c>
      <c r="M35" s="8">
        <v>-2.60372757920231</v>
      </c>
      <c r="N35" s="8">
        <v>-1.78502083690553</v>
      </c>
      <c r="O35" s="8">
        <v>0.149404404646214</v>
      </c>
      <c r="P35" s="8">
        <v>-0.089541427614368</v>
      </c>
      <c r="Q35" s="8">
        <v>0.137651656254271</v>
      </c>
      <c r="R35" s="8">
        <v>-9.66295471493841</v>
      </c>
      <c r="S35" s="8">
        <v>-7.95642847526445</v>
      </c>
      <c r="T35" s="8">
        <v>0.0295805035246634</v>
      </c>
      <c r="U35" s="8">
        <v>-0.223678306943838</v>
      </c>
      <c r="V35" s="8">
        <v>-0.85088896285749</v>
      </c>
      <c r="W35" s="8">
        <v>9.02873017998924</v>
      </c>
      <c r="X35" s="8">
        <v>1.08942734239832</v>
      </c>
      <c r="Y35" s="8">
        <v>-0.178519501846089</v>
      </c>
      <c r="Z35" s="8">
        <v>-1.43032183442489</v>
      </c>
      <c r="AA35" s="8">
        <v>0.858238305579916</v>
      </c>
      <c r="AB35" s="8">
        <v>-1.05785314293901</v>
      </c>
      <c r="AC35" s="8">
        <v>-1.06445124305144</v>
      </c>
      <c r="AD35" s="8">
        <v>-1.30045101023314</v>
      </c>
      <c r="AE35" s="8">
        <v>0.0498884771584841</v>
      </c>
      <c r="AF35" s="8">
        <v>0.000597024477854</v>
      </c>
    </row>
    <row r="36" ht="14.5" spans="1:32">
      <c r="A36" s="6" t="s">
        <v>154</v>
      </c>
      <c r="B36" s="8">
        <v>0.330619186909276</v>
      </c>
      <c r="C36" s="8">
        <v>1.22271029333217</v>
      </c>
      <c r="D36" s="8">
        <v>-0.0216790080104546</v>
      </c>
      <c r="E36" s="8">
        <v>0.819911640187356</v>
      </c>
      <c r="F36" s="8">
        <v>2.45700071001896</v>
      </c>
      <c r="G36" s="8">
        <v>1.59044411582974</v>
      </c>
      <c r="H36" s="8">
        <v>0.821299788725138</v>
      </c>
      <c r="I36" s="8">
        <v>-1.05235125231268</v>
      </c>
      <c r="J36" s="8">
        <v>0.302333062357886</v>
      </c>
      <c r="K36" s="8">
        <v>0.412069503943863</v>
      </c>
      <c r="L36" s="8">
        <v>9.40605486342724</v>
      </c>
      <c r="M36" s="8">
        <v>-2.60865714707216</v>
      </c>
      <c r="N36" s="8">
        <v>-1.5679252433046</v>
      </c>
      <c r="O36" s="8">
        <v>0.0468114901183024</v>
      </c>
      <c r="P36" s="8">
        <v>-0.164328363253198</v>
      </c>
      <c r="Q36" s="8">
        <v>0.177965947023963</v>
      </c>
      <c r="R36" s="8">
        <v>-9.81600188325376</v>
      </c>
      <c r="S36" s="8">
        <v>-7.2439791677783</v>
      </c>
      <c r="T36" s="8">
        <v>0.0754933994813014</v>
      </c>
      <c r="U36" s="8">
        <v>-0.0632137578423044</v>
      </c>
      <c r="V36" s="8">
        <v>-1.01359612437112</v>
      </c>
      <c r="W36" s="8">
        <v>7.76666720773881</v>
      </c>
      <c r="X36" s="8">
        <v>1.22162063849726</v>
      </c>
      <c r="Y36" s="8">
        <v>-0.365089346040907</v>
      </c>
      <c r="Z36" s="8">
        <v>-2.07588736649666</v>
      </c>
      <c r="AA36" s="8">
        <v>0.325615294888652</v>
      </c>
      <c r="AB36" s="8">
        <v>1.11418320446901</v>
      </c>
      <c r="AC36" s="8">
        <v>-1.09520166714844</v>
      </c>
      <c r="AD36" s="8">
        <v>-1.09234158352534</v>
      </c>
      <c r="AE36" s="8">
        <v>0.123988728072449</v>
      </c>
      <c r="AF36" s="8">
        <v>-0.0345371646114619</v>
      </c>
    </row>
    <row r="37" ht="14.5" spans="1:32">
      <c r="A37" s="6" t="s">
        <v>155</v>
      </c>
      <c r="B37" s="8">
        <v>0.418171372725242</v>
      </c>
      <c r="C37" s="8">
        <v>2.31749107558975</v>
      </c>
      <c r="D37" s="8">
        <v>0.0119832537994277</v>
      </c>
      <c r="E37" s="8">
        <v>-0.814903535513699</v>
      </c>
      <c r="F37" s="8">
        <v>-0.498014517990544</v>
      </c>
      <c r="G37" s="8">
        <v>1.267757260968</v>
      </c>
      <c r="H37" s="8">
        <v>0.111236993509137</v>
      </c>
      <c r="I37" s="8">
        <v>-1.48866935511825</v>
      </c>
      <c r="J37" s="8">
        <v>0.355453813536694</v>
      </c>
      <c r="K37" s="8">
        <v>0.471265767707197</v>
      </c>
      <c r="L37" s="8">
        <v>10.2341591084589</v>
      </c>
      <c r="M37" s="8">
        <v>-2.51857312591718</v>
      </c>
      <c r="N37" s="8">
        <v>-1.58174461225085</v>
      </c>
      <c r="O37" s="8">
        <v>0.0925904124344318</v>
      </c>
      <c r="P37" s="8">
        <v>-0.143528191938268</v>
      </c>
      <c r="Q37" s="8">
        <v>0.229809997054331</v>
      </c>
      <c r="R37" s="8">
        <v>-9.21321127631088</v>
      </c>
      <c r="S37" s="8">
        <v>-7.92741934207827</v>
      </c>
      <c r="T37" s="8">
        <v>0.0477739878887153</v>
      </c>
      <c r="U37" s="8">
        <v>0.0945179743244526</v>
      </c>
      <c r="V37" s="8">
        <v>-0.92821757038891</v>
      </c>
      <c r="W37" s="8">
        <v>9.93919620255463</v>
      </c>
      <c r="X37" s="8">
        <v>1.40117917197063</v>
      </c>
      <c r="Y37" s="8">
        <v>-0.566644754901815</v>
      </c>
      <c r="Z37" s="8">
        <v>-2.30279779568605</v>
      </c>
      <c r="AA37" s="8">
        <v>0.100071719948278</v>
      </c>
      <c r="AB37" s="8">
        <v>2.55864379783112</v>
      </c>
      <c r="AC37" s="8">
        <v>-0.842825751913837</v>
      </c>
      <c r="AD37" s="8">
        <v>-0.898348842677269</v>
      </c>
      <c r="AE37" s="8">
        <v>0.108419840440739</v>
      </c>
      <c r="AF37" s="8">
        <v>-0.0348230780558844</v>
      </c>
    </row>
    <row r="38" ht="14.5" spans="1:32">
      <c r="A38" s="6" t="s">
        <v>156</v>
      </c>
      <c r="B38" s="8">
        <v>-0.0982344320116704</v>
      </c>
      <c r="C38" s="8">
        <v>1.04398979752771</v>
      </c>
      <c r="D38" s="8">
        <v>-0.320257710105982</v>
      </c>
      <c r="E38" s="8">
        <v>-2.78730469723585</v>
      </c>
      <c r="F38" s="8">
        <v>17.575332192166</v>
      </c>
      <c r="G38" s="8">
        <v>-0.899936413015724</v>
      </c>
      <c r="H38" s="8">
        <v>-0.977032524925668</v>
      </c>
      <c r="I38" s="8">
        <v>-3.50853039143652</v>
      </c>
      <c r="J38" s="8">
        <v>0.25805515098903</v>
      </c>
      <c r="K38" s="8">
        <v>0.188909226880341</v>
      </c>
      <c r="L38" s="8">
        <v>6.1876601689345</v>
      </c>
      <c r="M38" s="8">
        <v>-2.55970907596728</v>
      </c>
      <c r="N38" s="8">
        <v>-2.20914647892627</v>
      </c>
      <c r="O38" s="8">
        <v>-0.11040400695804</v>
      </c>
      <c r="P38" s="8">
        <v>-0.181956123397597</v>
      </c>
      <c r="Q38" s="8">
        <v>0.112814733893319</v>
      </c>
      <c r="R38" s="8">
        <v>-10.3631890565509</v>
      </c>
      <c r="S38" s="8">
        <v>-7.881987693613</v>
      </c>
      <c r="T38" s="8">
        <v>0.0079871303553565</v>
      </c>
      <c r="U38" s="8">
        <v>0.408074417929369</v>
      </c>
      <c r="V38" s="8">
        <v>-1.1837100525411</v>
      </c>
      <c r="W38" s="8">
        <v>3.70214280363366</v>
      </c>
      <c r="X38" s="8">
        <v>3.00561768122264</v>
      </c>
      <c r="Y38" s="8">
        <v>-1.11790573852371</v>
      </c>
      <c r="Z38" s="8">
        <v>-2.68689545085302</v>
      </c>
      <c r="AA38" s="8">
        <v>-0.488618570727917</v>
      </c>
      <c r="AB38" s="8">
        <v>6.89191866491025</v>
      </c>
      <c r="AC38" s="8">
        <v>-1.0314926427681</v>
      </c>
      <c r="AD38" s="8">
        <v>-1.10773813350141</v>
      </c>
      <c r="AE38" s="8">
        <v>0.162580650419539</v>
      </c>
      <c r="AF38" s="8">
        <v>-0.0310334258019586</v>
      </c>
    </row>
    <row r="40" spans="1:32">
      <c r="A40" s="2" t="s">
        <v>179</v>
      </c>
    </row>
  </sheetData>
  <conditionalFormatting sqref="B5:AF38">
    <cfRule type="colorScale" priority="1">
      <colorScale>
        <cfvo type="num" val="-15"/>
        <cfvo type="num" val="0"/>
        <cfvo type="num" val="30"/>
        <color rgb="FFC6EFCE"/>
        <color rgb="FFFFFFFF"/>
        <color rgb="FFFFC7CE"/>
      </colorScale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6"/>
  <sheetViews>
    <sheetView topLeftCell="A47" workbookViewId="0">
      <selection activeCell="A74" sqref="$A74:$XFD76"/>
    </sheetView>
  </sheetViews>
  <sheetFormatPr defaultColWidth="9" defaultRowHeight="14" outlineLevelCol="6"/>
  <cols>
    <col min="1" max="6" width="18" customWidth="1"/>
  </cols>
  <sheetData>
    <row r="1" ht="22" customHeight="1" spans="1:7">
      <c r="A1" s="1" t="s">
        <v>180</v>
      </c>
    </row>
    <row r="2" spans="1:7">
      <c r="A2" s="2" t="s">
        <v>181</v>
      </c>
    </row>
    <row r="4" ht="29" spans="1:7">
      <c r="A4" s="3" t="s">
        <v>91</v>
      </c>
      <c r="B4" s="3" t="s">
        <v>182</v>
      </c>
      <c r="C4" s="3" t="s">
        <v>183</v>
      </c>
      <c r="D4" s="3" t="s">
        <v>184</v>
      </c>
      <c r="E4" s="3" t="s">
        <v>185</v>
      </c>
      <c r="F4" s="3" t="s">
        <v>186</v>
      </c>
      <c r="G4" s="3" t="s">
        <v>187</v>
      </c>
    </row>
    <row r="5" ht="14.5" spans="1:7">
      <c r="A5" s="6" t="s">
        <v>123</v>
      </c>
      <c r="B5" s="8">
        <v>25.5</v>
      </c>
      <c r="C5" s="8">
        <v>33.03</v>
      </c>
      <c r="D5" s="8">
        <v>0</v>
      </c>
      <c r="E5" s="8">
        <v>0</v>
      </c>
      <c r="F5" s="8">
        <v>20</v>
      </c>
      <c r="G5" s="8">
        <v>601</v>
      </c>
    </row>
    <row r="6" ht="14.5" spans="1:7">
      <c r="A6" s="6" t="s">
        <v>124</v>
      </c>
      <c r="B6" s="8">
        <v>28.4</v>
      </c>
      <c r="C6" s="8">
        <v>32.47</v>
      </c>
      <c r="D6" s="8">
        <v>0</v>
      </c>
      <c r="E6" s="8">
        <v>1</v>
      </c>
      <c r="F6" s="8">
        <v>16</v>
      </c>
      <c r="G6" s="8">
        <v>564</v>
      </c>
    </row>
    <row r="7" ht="14.5" spans="1:7">
      <c r="A7" s="6" t="s">
        <v>125</v>
      </c>
      <c r="B7" s="8">
        <v>32.2</v>
      </c>
      <c r="C7" s="8">
        <v>30.94</v>
      </c>
      <c r="D7" s="8">
        <v>0</v>
      </c>
      <c r="E7" s="8">
        <v>2</v>
      </c>
      <c r="F7" s="8">
        <v>21</v>
      </c>
      <c r="G7" s="8">
        <v>569</v>
      </c>
    </row>
    <row r="8" ht="14.5" spans="1:7">
      <c r="A8" s="6" t="s">
        <v>126</v>
      </c>
      <c r="B8" s="8">
        <v>27.4</v>
      </c>
      <c r="C8" s="8">
        <v>26.62</v>
      </c>
      <c r="D8" s="8">
        <v>0</v>
      </c>
      <c r="E8" s="8">
        <v>0</v>
      </c>
      <c r="F8" s="8">
        <v>22</v>
      </c>
      <c r="G8" s="8">
        <v>629</v>
      </c>
    </row>
    <row r="9" ht="14.5" spans="1:7">
      <c r="A9" s="6" t="s">
        <v>127</v>
      </c>
      <c r="B9" s="8">
        <v>33.5</v>
      </c>
      <c r="C9" s="8">
        <v>32.86</v>
      </c>
      <c r="D9" s="8">
        <v>0</v>
      </c>
      <c r="E9" s="8">
        <v>3</v>
      </c>
      <c r="F9" s="8">
        <v>22</v>
      </c>
      <c r="G9" s="8">
        <v>634</v>
      </c>
    </row>
    <row r="10" ht="14.5" spans="1:7">
      <c r="A10" s="6" t="s">
        <v>128</v>
      </c>
      <c r="B10" s="8">
        <v>45</v>
      </c>
      <c r="C10" s="8">
        <v>38.57</v>
      </c>
      <c r="D10" s="8">
        <v>0</v>
      </c>
      <c r="E10" s="8">
        <v>5</v>
      </c>
      <c r="F10" s="8">
        <v>27</v>
      </c>
      <c r="G10" s="8">
        <v>596</v>
      </c>
    </row>
    <row r="11" ht="14.5" spans="1:7">
      <c r="A11" s="6" t="s">
        <v>129</v>
      </c>
      <c r="B11" s="8">
        <v>45.6</v>
      </c>
      <c r="C11" s="8">
        <v>37.1</v>
      </c>
      <c r="D11" s="8">
        <v>1</v>
      </c>
      <c r="E11" s="8">
        <v>8</v>
      </c>
      <c r="F11" s="8">
        <v>25</v>
      </c>
      <c r="G11" s="8">
        <v>581</v>
      </c>
    </row>
    <row r="12" ht="14.5" spans="1:7">
      <c r="A12" s="6" t="s">
        <v>130</v>
      </c>
      <c r="B12" s="8">
        <v>45.2</v>
      </c>
      <c r="C12" s="8">
        <v>34.94</v>
      </c>
      <c r="D12" s="8">
        <v>1</v>
      </c>
      <c r="E12" s="8">
        <v>9</v>
      </c>
      <c r="F12" s="8">
        <v>27</v>
      </c>
      <c r="G12" s="8">
        <v>611</v>
      </c>
    </row>
    <row r="13" ht="14.5" spans="1:7">
      <c r="A13" s="6" t="s">
        <v>131</v>
      </c>
      <c r="B13" s="8">
        <v>46</v>
      </c>
      <c r="C13" s="8">
        <v>29.86</v>
      </c>
      <c r="D13" s="8">
        <v>0</v>
      </c>
      <c r="E13" s="8">
        <v>7</v>
      </c>
      <c r="F13" s="8">
        <v>34</v>
      </c>
      <c r="G13" s="8">
        <v>628</v>
      </c>
    </row>
    <row r="14" ht="14.5" spans="1:7">
      <c r="A14" s="6" t="s">
        <v>132</v>
      </c>
      <c r="B14" s="8">
        <v>52.1</v>
      </c>
      <c r="C14" s="8">
        <v>34.39</v>
      </c>
      <c r="D14" s="8">
        <v>2</v>
      </c>
      <c r="E14" s="8">
        <v>7</v>
      </c>
      <c r="F14" s="8">
        <v>34</v>
      </c>
      <c r="G14" s="8">
        <v>633</v>
      </c>
    </row>
    <row r="15" ht="14.5" spans="1:7">
      <c r="A15" s="6" t="s">
        <v>133</v>
      </c>
      <c r="B15" s="8">
        <v>58.4</v>
      </c>
      <c r="C15" s="8">
        <v>35.24</v>
      </c>
      <c r="D15" s="8">
        <v>3</v>
      </c>
      <c r="E15" s="8">
        <v>10</v>
      </c>
      <c r="F15" s="8">
        <v>43</v>
      </c>
      <c r="G15" s="8">
        <v>634</v>
      </c>
    </row>
    <row r="16" ht="14.5" spans="1:7">
      <c r="A16" s="6" t="s">
        <v>134</v>
      </c>
      <c r="B16" s="8">
        <v>68.2</v>
      </c>
      <c r="C16" s="8">
        <v>36.6</v>
      </c>
      <c r="D16" s="8">
        <v>3</v>
      </c>
      <c r="E16" s="8">
        <v>13</v>
      </c>
      <c r="F16" s="8">
        <v>48</v>
      </c>
      <c r="G16" s="8">
        <v>604</v>
      </c>
    </row>
    <row r="17" ht="14.5" spans="1:7">
      <c r="A17" s="6" t="s">
        <v>135</v>
      </c>
      <c r="B17" s="8">
        <v>70.9</v>
      </c>
      <c r="C17" s="8">
        <v>35.63</v>
      </c>
      <c r="D17" s="8">
        <v>3</v>
      </c>
      <c r="E17" s="8">
        <v>15</v>
      </c>
      <c r="F17" s="8">
        <v>52</v>
      </c>
      <c r="G17" s="8">
        <v>656</v>
      </c>
    </row>
    <row r="18" ht="14.5" spans="1:7">
      <c r="A18" s="6" t="s">
        <v>136</v>
      </c>
      <c r="B18" s="8">
        <v>73.1</v>
      </c>
      <c r="C18" s="8">
        <v>36.65</v>
      </c>
      <c r="D18" s="8">
        <v>4</v>
      </c>
      <c r="E18" s="8">
        <v>15</v>
      </c>
      <c r="F18" s="8">
        <v>54</v>
      </c>
      <c r="G18" s="8">
        <v>706</v>
      </c>
    </row>
    <row r="19" ht="14.5" spans="1:7">
      <c r="A19" s="6" t="s">
        <v>137</v>
      </c>
      <c r="B19" s="8">
        <v>77.8</v>
      </c>
      <c r="C19" s="8">
        <v>31.96</v>
      </c>
      <c r="D19" s="8">
        <v>3</v>
      </c>
      <c r="E19" s="8">
        <v>20</v>
      </c>
      <c r="F19" s="8">
        <v>55</v>
      </c>
      <c r="G19" s="8">
        <v>783</v>
      </c>
    </row>
    <row r="20" ht="14.5" spans="1:7">
      <c r="A20" s="6" t="s">
        <v>138</v>
      </c>
      <c r="B20" s="8">
        <v>77.2</v>
      </c>
      <c r="C20" s="8">
        <v>33.34</v>
      </c>
      <c r="D20" s="8">
        <v>3</v>
      </c>
      <c r="E20" s="8">
        <v>15</v>
      </c>
      <c r="F20" s="8">
        <v>56</v>
      </c>
      <c r="G20" s="8">
        <v>871</v>
      </c>
    </row>
    <row r="21" ht="14.5" spans="1:7">
      <c r="A21" s="6" t="s">
        <v>139</v>
      </c>
      <c r="B21" s="8">
        <v>80.4</v>
      </c>
      <c r="C21" s="8">
        <v>32.03</v>
      </c>
      <c r="D21" s="8">
        <v>3</v>
      </c>
      <c r="E21" s="8">
        <v>20</v>
      </c>
      <c r="F21" s="8">
        <v>69</v>
      </c>
      <c r="G21" s="8">
        <v>859</v>
      </c>
    </row>
    <row r="22" ht="14.5" spans="1:7">
      <c r="A22" s="6" t="s">
        <v>140</v>
      </c>
      <c r="B22" s="8">
        <v>84.1</v>
      </c>
      <c r="C22" s="8">
        <v>33.86</v>
      </c>
      <c r="D22" s="8">
        <v>4</v>
      </c>
      <c r="E22" s="8">
        <v>18</v>
      </c>
      <c r="F22" s="8">
        <v>72</v>
      </c>
      <c r="G22" s="8">
        <v>869</v>
      </c>
    </row>
    <row r="23" ht="14.5" spans="1:7">
      <c r="A23" s="6" t="s">
        <v>141</v>
      </c>
      <c r="B23" s="8">
        <v>77.2</v>
      </c>
      <c r="C23" s="8">
        <v>29.1</v>
      </c>
      <c r="D23" s="8">
        <v>3</v>
      </c>
      <c r="E23" s="8">
        <v>14</v>
      </c>
      <c r="F23" s="8">
        <v>80</v>
      </c>
      <c r="G23" s="8">
        <v>906</v>
      </c>
    </row>
    <row r="24" ht="14.5" spans="1:7">
      <c r="A24" s="6" t="s">
        <v>142</v>
      </c>
      <c r="B24" s="8">
        <v>76</v>
      </c>
      <c r="C24" s="8">
        <v>30.29</v>
      </c>
      <c r="D24" s="8">
        <v>4</v>
      </c>
      <c r="E24" s="8">
        <v>13</v>
      </c>
      <c r="F24" s="8">
        <v>70</v>
      </c>
      <c r="G24" s="8">
        <v>1003</v>
      </c>
    </row>
    <row r="25" ht="14.5" spans="1:7">
      <c r="A25" s="6" t="s">
        <v>143</v>
      </c>
      <c r="B25" s="8">
        <v>70.4</v>
      </c>
      <c r="C25" s="8">
        <v>28.25</v>
      </c>
      <c r="D25" s="8">
        <v>4</v>
      </c>
      <c r="E25" s="8">
        <v>11</v>
      </c>
      <c r="F25" s="8">
        <v>73</v>
      </c>
      <c r="G25" s="8">
        <v>1058</v>
      </c>
    </row>
    <row r="26" ht="14.5" spans="1:7">
      <c r="A26" s="6" t="s">
        <v>144</v>
      </c>
      <c r="B26" s="8">
        <v>73</v>
      </c>
      <c r="C26" s="8">
        <v>26.18</v>
      </c>
      <c r="D26" s="8">
        <v>2</v>
      </c>
      <c r="E26" s="8">
        <v>12</v>
      </c>
      <c r="F26" s="8">
        <v>74</v>
      </c>
      <c r="G26" s="8">
        <v>1091</v>
      </c>
    </row>
    <row r="27" ht="14.5" spans="1:7">
      <c r="A27" s="6" t="s">
        <v>145</v>
      </c>
      <c r="B27" s="8">
        <v>76.6</v>
      </c>
      <c r="C27" s="8">
        <v>26.35</v>
      </c>
      <c r="D27" s="8">
        <v>3</v>
      </c>
      <c r="E27" s="8">
        <v>15</v>
      </c>
      <c r="F27" s="8">
        <v>77</v>
      </c>
      <c r="G27" s="8">
        <v>1093</v>
      </c>
    </row>
    <row r="28" ht="14.5" spans="1:7">
      <c r="A28" s="6" t="s">
        <v>146</v>
      </c>
      <c r="B28" s="8">
        <v>75.6</v>
      </c>
      <c r="C28" s="8">
        <v>26</v>
      </c>
      <c r="D28" s="8">
        <v>3</v>
      </c>
      <c r="E28" s="8">
        <v>15</v>
      </c>
      <c r="F28" s="8">
        <v>79</v>
      </c>
      <c r="G28" s="8">
        <v>1141</v>
      </c>
    </row>
    <row r="29" ht="14.5" spans="1:7">
      <c r="A29" s="6" t="s">
        <v>147</v>
      </c>
      <c r="B29" s="8">
        <v>85.8</v>
      </c>
      <c r="C29" s="8">
        <v>28.48</v>
      </c>
      <c r="D29" s="8">
        <v>4</v>
      </c>
      <c r="E29" s="8">
        <v>23</v>
      </c>
      <c r="F29" s="8">
        <v>77</v>
      </c>
      <c r="G29" s="8">
        <v>1091</v>
      </c>
    </row>
    <row r="30" ht="14.5" spans="1:7">
      <c r="A30" s="6" t="s">
        <v>148</v>
      </c>
      <c r="B30" s="8">
        <v>96.5</v>
      </c>
      <c r="C30" s="8">
        <v>31.1</v>
      </c>
      <c r="D30" s="8">
        <v>6</v>
      </c>
      <c r="E30" s="8">
        <v>20</v>
      </c>
      <c r="F30" s="8">
        <v>84</v>
      </c>
      <c r="G30" s="8">
        <v>982</v>
      </c>
    </row>
    <row r="31" ht="14.5" spans="1:7">
      <c r="A31" s="6" t="s">
        <v>149</v>
      </c>
      <c r="B31" s="8">
        <v>103.8</v>
      </c>
      <c r="C31" s="8">
        <v>33.83</v>
      </c>
      <c r="D31" s="8">
        <v>9</v>
      </c>
      <c r="E31" s="8">
        <v>17</v>
      </c>
      <c r="F31" s="8">
        <v>85</v>
      </c>
      <c r="G31" s="8">
        <v>1000</v>
      </c>
    </row>
    <row r="32" ht="14.5" spans="1:7">
      <c r="A32" s="6" t="s">
        <v>150</v>
      </c>
      <c r="B32" s="8">
        <v>96</v>
      </c>
      <c r="C32" s="8">
        <v>29.17</v>
      </c>
      <c r="D32" s="8">
        <v>6</v>
      </c>
      <c r="E32" s="8">
        <v>22</v>
      </c>
      <c r="F32" s="8">
        <v>84</v>
      </c>
      <c r="G32" s="8">
        <v>1051</v>
      </c>
    </row>
    <row r="33" ht="14.5" spans="1:7">
      <c r="A33" s="6" t="s">
        <v>151</v>
      </c>
      <c r="B33" s="8">
        <v>90.6</v>
      </c>
      <c r="C33" s="8">
        <v>30.47</v>
      </c>
      <c r="D33" s="8">
        <v>6</v>
      </c>
      <c r="E33" s="8">
        <v>18</v>
      </c>
      <c r="F33" s="8">
        <v>81</v>
      </c>
      <c r="G33" s="8">
        <v>1095</v>
      </c>
    </row>
    <row r="34" ht="14.5" spans="1:7">
      <c r="A34" s="6" t="s">
        <v>152</v>
      </c>
      <c r="B34" s="8">
        <v>83.1</v>
      </c>
      <c r="C34" s="8">
        <v>25.78</v>
      </c>
      <c r="D34" s="8">
        <v>4</v>
      </c>
      <c r="E34" s="8">
        <v>19</v>
      </c>
      <c r="F34" s="8">
        <v>83</v>
      </c>
      <c r="G34" s="8">
        <v>1118</v>
      </c>
    </row>
    <row r="35" ht="14.5" spans="1:7">
      <c r="A35" s="6" t="s">
        <v>153</v>
      </c>
      <c r="B35" s="8">
        <v>99.4</v>
      </c>
      <c r="C35" s="8">
        <v>32.63</v>
      </c>
      <c r="D35" s="8">
        <v>8</v>
      </c>
      <c r="E35" s="8">
        <v>21</v>
      </c>
      <c r="F35" s="8">
        <v>88</v>
      </c>
      <c r="G35" s="8">
        <v>1044</v>
      </c>
    </row>
    <row r="36" ht="14.5" spans="1:7">
      <c r="A36" s="6" t="s">
        <v>154</v>
      </c>
      <c r="B36" s="8">
        <v>104.8</v>
      </c>
      <c r="C36" s="8">
        <v>32.73</v>
      </c>
      <c r="D36" s="8">
        <v>7</v>
      </c>
      <c r="E36" s="8">
        <v>24</v>
      </c>
      <c r="F36" s="8">
        <v>85</v>
      </c>
      <c r="G36" s="8">
        <v>1083</v>
      </c>
    </row>
    <row r="37" ht="14.5" spans="1:7">
      <c r="A37" s="6" t="s">
        <v>155</v>
      </c>
      <c r="B37" s="8">
        <v>100.8</v>
      </c>
      <c r="C37" s="8">
        <v>30.9</v>
      </c>
      <c r="D37" s="8">
        <v>6</v>
      </c>
      <c r="E37" s="8">
        <v>25</v>
      </c>
      <c r="F37" s="8">
        <v>96</v>
      </c>
      <c r="G37" s="8">
        <v>1144</v>
      </c>
    </row>
    <row r="38" ht="14.5" spans="1:7">
      <c r="A38" s="6" t="s">
        <v>156</v>
      </c>
      <c r="B38" s="8">
        <v>122.6</v>
      </c>
      <c r="C38" s="8">
        <v>38.27</v>
      </c>
      <c r="D38" s="8">
        <v>9</v>
      </c>
      <c r="E38" s="8">
        <v>29</v>
      </c>
      <c r="F38" s="8">
        <v>106</v>
      </c>
      <c r="G38" s="8">
        <v>1041</v>
      </c>
    </row>
    <row r="42" ht="14.5" spans="1:7">
      <c r="A42" s="9" t="s">
        <v>188</v>
      </c>
      <c r="B42" s="9" t="s">
        <v>189</v>
      </c>
      <c r="C42" s="9" t="s">
        <v>190</v>
      </c>
      <c r="D42" s="9" t="s">
        <v>191</v>
      </c>
      <c r="E42" s="9" t="s">
        <v>192</v>
      </c>
      <c r="F42" s="9" t="s">
        <v>193</v>
      </c>
    </row>
    <row r="43" ht="14.5" spans="1:7">
      <c r="A43" s="10" t="s">
        <v>194</v>
      </c>
      <c r="B43" s="10" t="s">
        <v>195</v>
      </c>
      <c r="C43" s="10" t="s">
        <v>196</v>
      </c>
      <c r="D43" s="10" t="s">
        <v>197</v>
      </c>
      <c r="E43" s="10" t="s">
        <v>198</v>
      </c>
      <c r="F43" s="10" t="s">
        <v>199</v>
      </c>
    </row>
    <row r="44" ht="14.5" spans="1:7">
      <c r="A44" s="10" t="s">
        <v>200</v>
      </c>
      <c r="B44" s="10" t="s">
        <v>196</v>
      </c>
      <c r="C44" s="10" t="s">
        <v>197</v>
      </c>
      <c r="D44" s="10" t="s">
        <v>195</v>
      </c>
      <c r="E44" s="10" t="s">
        <v>201</v>
      </c>
      <c r="F44" s="10" t="s">
        <v>199</v>
      </c>
    </row>
    <row r="45" ht="14.5" spans="1:7">
      <c r="A45" s="10" t="s">
        <v>202</v>
      </c>
      <c r="B45" s="10" t="s">
        <v>195</v>
      </c>
      <c r="C45" s="10" t="s">
        <v>196</v>
      </c>
      <c r="D45" s="10" t="s">
        <v>203</v>
      </c>
      <c r="E45" s="10" t="s">
        <v>197</v>
      </c>
      <c r="F45" s="10" t="s">
        <v>204</v>
      </c>
    </row>
    <row r="46" ht="14.5" spans="1:7">
      <c r="A46" s="10" t="s">
        <v>205</v>
      </c>
      <c r="B46" s="10" t="s">
        <v>195</v>
      </c>
      <c r="C46" s="10" t="s">
        <v>196</v>
      </c>
      <c r="D46" s="10" t="s">
        <v>206</v>
      </c>
      <c r="E46" s="10" t="s">
        <v>207</v>
      </c>
      <c r="F46" s="10" t="s">
        <v>203</v>
      </c>
    </row>
    <row r="47" ht="14.5" spans="1:7">
      <c r="A47" s="10" t="s">
        <v>208</v>
      </c>
      <c r="B47" s="10" t="s">
        <v>195</v>
      </c>
      <c r="C47" s="10" t="s">
        <v>196</v>
      </c>
      <c r="D47" s="10" t="s">
        <v>203</v>
      </c>
      <c r="E47" s="10" t="s">
        <v>209</v>
      </c>
      <c r="F47" s="10" t="s">
        <v>210</v>
      </c>
    </row>
    <row r="48" ht="14.5" spans="1:7">
      <c r="A48" s="10" t="s">
        <v>211</v>
      </c>
      <c r="B48" s="10" t="s">
        <v>196</v>
      </c>
      <c r="C48" s="10" t="s">
        <v>195</v>
      </c>
      <c r="D48" s="10" t="s">
        <v>197</v>
      </c>
      <c r="E48" s="10" t="s">
        <v>212</v>
      </c>
      <c r="F48" s="10" t="s">
        <v>203</v>
      </c>
    </row>
    <row r="49" ht="14.5" spans="1:6">
      <c r="A49" s="10" t="s">
        <v>213</v>
      </c>
      <c r="B49" s="10" t="s">
        <v>196</v>
      </c>
      <c r="C49" s="10" t="s">
        <v>195</v>
      </c>
      <c r="D49" s="10" t="s">
        <v>197</v>
      </c>
      <c r="E49" s="10" t="s">
        <v>210</v>
      </c>
      <c r="F49" s="10" t="s">
        <v>214</v>
      </c>
    </row>
    <row r="50" ht="14.5" spans="1:6">
      <c r="A50" s="10" t="s">
        <v>215</v>
      </c>
      <c r="B50" s="10" t="s">
        <v>196</v>
      </c>
      <c r="C50" s="10" t="s">
        <v>195</v>
      </c>
      <c r="D50" s="10" t="s">
        <v>197</v>
      </c>
      <c r="E50" s="10" t="s">
        <v>206</v>
      </c>
      <c r="F50" s="10" t="s">
        <v>210</v>
      </c>
    </row>
    <row r="51" ht="14.5" spans="1:6">
      <c r="A51" s="10" t="s">
        <v>216</v>
      </c>
      <c r="B51" s="10" t="s">
        <v>196</v>
      </c>
      <c r="C51" s="10" t="s">
        <v>210</v>
      </c>
      <c r="D51" s="10" t="s">
        <v>214</v>
      </c>
      <c r="E51" s="10" t="s">
        <v>203</v>
      </c>
      <c r="F51" s="10" t="s">
        <v>212</v>
      </c>
    </row>
    <row r="52" ht="14.5" spans="1:6">
      <c r="A52" s="10" t="s">
        <v>217</v>
      </c>
      <c r="B52" s="10" t="s">
        <v>196</v>
      </c>
      <c r="C52" s="10" t="s">
        <v>210</v>
      </c>
      <c r="D52" s="10" t="s">
        <v>212</v>
      </c>
      <c r="E52" s="10" t="s">
        <v>218</v>
      </c>
      <c r="F52" s="10" t="s">
        <v>219</v>
      </c>
    </row>
    <row r="53" ht="14.5" spans="1:6">
      <c r="A53" s="10" t="s">
        <v>220</v>
      </c>
      <c r="B53" s="10" t="s">
        <v>196</v>
      </c>
      <c r="C53" s="10" t="s">
        <v>210</v>
      </c>
      <c r="D53" s="10" t="s">
        <v>212</v>
      </c>
      <c r="E53" s="10" t="s">
        <v>219</v>
      </c>
      <c r="F53" s="10" t="s">
        <v>218</v>
      </c>
    </row>
    <row r="54" ht="14.5" spans="1:6">
      <c r="A54" s="10" t="s">
        <v>221</v>
      </c>
      <c r="B54" s="10" t="s">
        <v>196</v>
      </c>
      <c r="C54" s="10" t="s">
        <v>212</v>
      </c>
      <c r="D54" s="10" t="s">
        <v>218</v>
      </c>
      <c r="E54" s="10" t="s">
        <v>199</v>
      </c>
      <c r="F54" s="10" t="s">
        <v>195</v>
      </c>
    </row>
    <row r="55" ht="14.5" spans="1:6">
      <c r="A55" s="10" t="s">
        <v>222</v>
      </c>
      <c r="B55" s="10" t="s">
        <v>196</v>
      </c>
      <c r="C55" s="10" t="s">
        <v>212</v>
      </c>
      <c r="D55" s="10" t="s">
        <v>223</v>
      </c>
      <c r="E55" s="10" t="s">
        <v>218</v>
      </c>
      <c r="F55" s="10" t="s">
        <v>224</v>
      </c>
    </row>
    <row r="56" ht="14.5" spans="1:6">
      <c r="A56" s="10" t="s">
        <v>225</v>
      </c>
      <c r="B56" s="10" t="s">
        <v>218</v>
      </c>
      <c r="C56" s="10" t="s">
        <v>196</v>
      </c>
      <c r="D56" s="10" t="s">
        <v>212</v>
      </c>
      <c r="E56" s="10" t="s">
        <v>224</v>
      </c>
      <c r="F56" s="10" t="s">
        <v>223</v>
      </c>
    </row>
    <row r="57" ht="14.5" spans="1:6">
      <c r="A57" s="10" t="s">
        <v>226</v>
      </c>
      <c r="B57" s="10" t="s">
        <v>218</v>
      </c>
      <c r="C57" s="10" t="s">
        <v>196</v>
      </c>
      <c r="D57" s="10" t="s">
        <v>227</v>
      </c>
      <c r="E57" s="10" t="s">
        <v>224</v>
      </c>
      <c r="F57" s="10" t="s">
        <v>212</v>
      </c>
    </row>
    <row r="58" ht="14.5" spans="1:6">
      <c r="A58" s="10" t="s">
        <v>228</v>
      </c>
      <c r="B58" s="10" t="s">
        <v>218</v>
      </c>
      <c r="C58" s="10" t="s">
        <v>196</v>
      </c>
      <c r="D58" s="10" t="s">
        <v>210</v>
      </c>
      <c r="E58" s="10" t="s">
        <v>229</v>
      </c>
      <c r="F58" s="10" t="s">
        <v>227</v>
      </c>
    </row>
    <row r="59" ht="14.5" spans="1:6">
      <c r="A59" s="10" t="s">
        <v>230</v>
      </c>
      <c r="B59" s="10" t="s">
        <v>218</v>
      </c>
      <c r="C59" s="10" t="s">
        <v>196</v>
      </c>
      <c r="D59" s="10" t="s">
        <v>227</v>
      </c>
      <c r="E59" s="10" t="s">
        <v>219</v>
      </c>
      <c r="F59" s="10" t="s">
        <v>231</v>
      </c>
    </row>
    <row r="60" ht="14.5" spans="1:6">
      <c r="A60" s="10" t="s">
        <v>232</v>
      </c>
      <c r="B60" s="10" t="s">
        <v>218</v>
      </c>
      <c r="C60" s="10" t="s">
        <v>196</v>
      </c>
      <c r="D60" s="10" t="s">
        <v>219</v>
      </c>
      <c r="E60" s="10" t="s">
        <v>212</v>
      </c>
      <c r="F60" s="10" t="s">
        <v>233</v>
      </c>
    </row>
    <row r="61" ht="14.5" spans="1:6">
      <c r="A61" s="10" t="s">
        <v>234</v>
      </c>
      <c r="B61" s="10" t="s">
        <v>196</v>
      </c>
      <c r="C61" s="10" t="s">
        <v>218</v>
      </c>
      <c r="D61" s="10" t="s">
        <v>219</v>
      </c>
      <c r="E61" s="10" t="s">
        <v>235</v>
      </c>
      <c r="F61" s="10" t="s">
        <v>231</v>
      </c>
    </row>
    <row r="62" ht="14.5" spans="1:6">
      <c r="A62" s="10" t="s">
        <v>236</v>
      </c>
      <c r="B62" s="10" t="s">
        <v>196</v>
      </c>
      <c r="C62" s="10" t="s">
        <v>218</v>
      </c>
      <c r="D62" s="10" t="s">
        <v>212</v>
      </c>
      <c r="E62" s="10" t="s">
        <v>223</v>
      </c>
      <c r="F62" s="10" t="s">
        <v>235</v>
      </c>
    </row>
    <row r="63" ht="14.5" spans="1:6">
      <c r="A63" s="10" t="s">
        <v>237</v>
      </c>
      <c r="B63" s="10" t="s">
        <v>218</v>
      </c>
      <c r="C63" s="10" t="s">
        <v>196</v>
      </c>
      <c r="D63" s="10" t="s">
        <v>223</v>
      </c>
      <c r="E63" s="10" t="s">
        <v>212</v>
      </c>
      <c r="F63" s="10" t="s">
        <v>238</v>
      </c>
    </row>
    <row r="64" ht="14.5" spans="1:6">
      <c r="A64" s="10" t="s">
        <v>239</v>
      </c>
      <c r="B64" s="10" t="s">
        <v>218</v>
      </c>
      <c r="C64" s="10" t="s">
        <v>196</v>
      </c>
      <c r="D64" s="10" t="s">
        <v>223</v>
      </c>
      <c r="E64" s="10" t="s">
        <v>240</v>
      </c>
      <c r="F64" s="10" t="s">
        <v>238</v>
      </c>
    </row>
    <row r="65" ht="14.5" spans="1:6">
      <c r="A65" s="10" t="s">
        <v>241</v>
      </c>
      <c r="B65" s="10" t="s">
        <v>196</v>
      </c>
      <c r="C65" s="10" t="s">
        <v>218</v>
      </c>
      <c r="D65" s="10" t="s">
        <v>223</v>
      </c>
      <c r="E65" s="10" t="s">
        <v>235</v>
      </c>
      <c r="F65" s="10" t="s">
        <v>214</v>
      </c>
    </row>
    <row r="66" ht="14.5" spans="1:6">
      <c r="A66" s="10" t="s">
        <v>242</v>
      </c>
      <c r="B66" s="10" t="s">
        <v>196</v>
      </c>
      <c r="C66" s="10" t="s">
        <v>218</v>
      </c>
      <c r="D66" s="10" t="s">
        <v>210</v>
      </c>
      <c r="E66" s="10" t="s">
        <v>214</v>
      </c>
      <c r="F66" s="10" t="s">
        <v>243</v>
      </c>
    </row>
    <row r="67" ht="14.5" spans="1:6">
      <c r="A67" s="10" t="s">
        <v>244</v>
      </c>
      <c r="B67" s="10" t="s">
        <v>218</v>
      </c>
      <c r="C67" s="10" t="s">
        <v>196</v>
      </c>
      <c r="D67" s="10" t="s">
        <v>243</v>
      </c>
      <c r="E67" s="10" t="s">
        <v>245</v>
      </c>
      <c r="F67" s="10" t="s">
        <v>210</v>
      </c>
    </row>
    <row r="68" ht="14.5" spans="1:6">
      <c r="A68" s="10" t="s">
        <v>246</v>
      </c>
      <c r="B68" s="10" t="s">
        <v>218</v>
      </c>
      <c r="C68" s="10" t="s">
        <v>210</v>
      </c>
      <c r="D68" s="10" t="s">
        <v>245</v>
      </c>
      <c r="E68" s="10" t="s">
        <v>196</v>
      </c>
      <c r="F68" s="10" t="s">
        <v>223</v>
      </c>
    </row>
    <row r="69" ht="14.5" spans="1:6">
      <c r="A69" s="10" t="s">
        <v>247</v>
      </c>
      <c r="B69" s="10" t="s">
        <v>218</v>
      </c>
      <c r="C69" s="10" t="s">
        <v>210</v>
      </c>
      <c r="D69" s="10" t="s">
        <v>245</v>
      </c>
      <c r="E69" s="10" t="s">
        <v>223</v>
      </c>
      <c r="F69" s="10" t="s">
        <v>248</v>
      </c>
    </row>
    <row r="70" ht="14.5" spans="1:6">
      <c r="A70" s="10" t="s">
        <v>249</v>
      </c>
      <c r="B70" s="10" t="s">
        <v>218</v>
      </c>
      <c r="C70" s="10" t="s">
        <v>210</v>
      </c>
      <c r="D70" s="10" t="s">
        <v>223</v>
      </c>
      <c r="E70" s="10" t="s">
        <v>199</v>
      </c>
      <c r="F70" s="10" t="s">
        <v>250</v>
      </c>
    </row>
    <row r="71" ht="14.5" spans="1:6">
      <c r="A71" s="10" t="s">
        <v>251</v>
      </c>
      <c r="B71" s="10" t="s">
        <v>218</v>
      </c>
      <c r="C71" s="10" t="s">
        <v>223</v>
      </c>
      <c r="D71" s="10" t="s">
        <v>210</v>
      </c>
      <c r="E71" s="10" t="s">
        <v>252</v>
      </c>
      <c r="F71" s="10" t="s">
        <v>199</v>
      </c>
    </row>
    <row r="72" ht="14.5" spans="1:6">
      <c r="A72" s="10" t="s">
        <v>253</v>
      </c>
      <c r="B72" s="10" t="s">
        <v>218</v>
      </c>
      <c r="C72" s="10" t="s">
        <v>223</v>
      </c>
      <c r="D72" s="10" t="s">
        <v>248</v>
      </c>
      <c r="E72" s="10" t="s">
        <v>245</v>
      </c>
      <c r="F72" s="10" t="s">
        <v>243</v>
      </c>
    </row>
    <row r="73" ht="14.5" spans="1:6">
      <c r="A73" s="10" t="s">
        <v>254</v>
      </c>
      <c r="B73" s="10" t="s">
        <v>218</v>
      </c>
      <c r="C73" s="10" t="s">
        <v>245</v>
      </c>
      <c r="D73" s="10" t="s">
        <v>248</v>
      </c>
      <c r="E73" s="10" t="s">
        <v>223</v>
      </c>
      <c r="F73" s="10" t="s">
        <v>255</v>
      </c>
    </row>
    <row r="74" ht="14.5" spans="1:6">
      <c r="A74" s="10" t="s">
        <v>256</v>
      </c>
      <c r="B74" s="10" t="s">
        <v>245</v>
      </c>
      <c r="C74" s="10" t="s">
        <v>248</v>
      </c>
      <c r="D74" s="10" t="s">
        <v>218</v>
      </c>
      <c r="E74" s="10" t="s">
        <v>243</v>
      </c>
      <c r="F74" s="10" t="s">
        <v>223</v>
      </c>
    </row>
    <row r="75" ht="14.5" spans="1:6">
      <c r="A75" s="10" t="s">
        <v>257</v>
      </c>
      <c r="B75" s="10" t="s">
        <v>245</v>
      </c>
      <c r="C75" s="10" t="s">
        <v>218</v>
      </c>
      <c r="D75" s="10" t="s">
        <v>248</v>
      </c>
      <c r="E75" s="10" t="s">
        <v>258</v>
      </c>
      <c r="F75" s="10" t="s">
        <v>243</v>
      </c>
    </row>
    <row r="76" ht="14.5" spans="1:6">
      <c r="A76" s="10" t="s">
        <v>259</v>
      </c>
      <c r="B76" s="10" t="s">
        <v>245</v>
      </c>
      <c r="C76" s="10" t="s">
        <v>248</v>
      </c>
      <c r="D76" s="10" t="s">
        <v>218</v>
      </c>
      <c r="E76" s="10" t="s">
        <v>260</v>
      </c>
      <c r="F76" s="10" t="s">
        <v>258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B5" sqref="B5:B24"/>
    </sheetView>
  </sheetViews>
  <sheetFormatPr defaultColWidth="9" defaultRowHeight="14" outlineLevelCol="5"/>
  <cols>
    <col min="1" max="5" width="18" customWidth="1"/>
  </cols>
  <sheetData>
    <row r="1" ht="22" customHeight="1" spans="1:6">
      <c r="A1" s="1" t="s">
        <v>261</v>
      </c>
    </row>
    <row r="2" spans="1:6">
      <c r="A2" s="2" t="s">
        <v>262</v>
      </c>
    </row>
    <row r="4" ht="29" spans="1:6">
      <c r="A4" s="3" t="s">
        <v>263</v>
      </c>
      <c r="B4" s="3" t="s">
        <v>264</v>
      </c>
      <c r="C4" s="3" t="s">
        <v>265</v>
      </c>
      <c r="D4" s="3" t="s">
        <v>266</v>
      </c>
      <c r="E4" s="3" t="s">
        <v>267</v>
      </c>
      <c r="F4" s="3" t="s">
        <v>268</v>
      </c>
    </row>
    <row r="5" ht="14.5" spans="1:6">
      <c r="A5" s="8">
        <v>300308</v>
      </c>
      <c r="B5" s="6" t="s">
        <v>269</v>
      </c>
      <c r="C5" s="6" t="s">
        <v>175</v>
      </c>
      <c r="D5" s="8">
        <v>314</v>
      </c>
      <c r="E5" s="8">
        <v>3932206.4</v>
      </c>
      <c r="F5" s="8">
        <v>393.22</v>
      </c>
    </row>
    <row r="6" ht="14.5" spans="1:6">
      <c r="A6" s="8">
        <v>300750</v>
      </c>
      <c r="B6" s="6" t="s">
        <v>270</v>
      </c>
      <c r="C6" s="6" t="s">
        <v>172</v>
      </c>
      <c r="D6" s="8">
        <v>249</v>
      </c>
      <c r="E6" s="8">
        <v>1707076.41</v>
      </c>
      <c r="F6" s="8">
        <v>170.71</v>
      </c>
    </row>
    <row r="7" ht="14.5" spans="1:6">
      <c r="A7" s="8">
        <v>300502</v>
      </c>
      <c r="B7" s="6" t="s">
        <v>271</v>
      </c>
      <c r="C7" s="6" t="s">
        <v>175</v>
      </c>
      <c r="D7" s="8">
        <v>228</v>
      </c>
      <c r="E7" s="8">
        <v>3590957.41</v>
      </c>
      <c r="F7" s="8">
        <v>359.1</v>
      </c>
    </row>
    <row r="8" ht="14.5" spans="1:6">
      <c r="A8" s="8">
        <v>603259</v>
      </c>
      <c r="B8" s="6" t="s">
        <v>272</v>
      </c>
      <c r="C8" s="6" t="s">
        <v>169</v>
      </c>
      <c r="D8" s="8">
        <v>142</v>
      </c>
      <c r="E8" s="8">
        <v>1079230.4</v>
      </c>
      <c r="F8" s="8">
        <v>107.92</v>
      </c>
    </row>
    <row r="9" ht="14.5" spans="1:6">
      <c r="A9" s="8">
        <v>603986</v>
      </c>
      <c r="B9" s="6" t="s">
        <v>273</v>
      </c>
      <c r="C9" s="6" t="s">
        <v>174</v>
      </c>
      <c r="D9" s="8">
        <v>136</v>
      </c>
      <c r="E9" s="8">
        <v>1185702.29</v>
      </c>
      <c r="F9" s="8">
        <v>118.57</v>
      </c>
    </row>
    <row r="10" ht="14.5" spans="1:6">
      <c r="A10" s="8">
        <v>688256</v>
      </c>
      <c r="B10" s="6" t="s">
        <v>274</v>
      </c>
      <c r="C10" s="6" t="s">
        <v>174</v>
      </c>
      <c r="D10" s="8">
        <v>136</v>
      </c>
      <c r="E10" s="8">
        <v>1409813.15</v>
      </c>
      <c r="F10" s="8">
        <v>140.98</v>
      </c>
    </row>
    <row r="11" ht="14.5" spans="1:6">
      <c r="A11" s="8" t="s">
        <v>275</v>
      </c>
      <c r="B11" s="6" t="s">
        <v>276</v>
      </c>
      <c r="C11" s="6" t="s">
        <v>174</v>
      </c>
      <c r="D11" s="8">
        <v>125</v>
      </c>
      <c r="E11" s="8">
        <v>1812519.27</v>
      </c>
      <c r="F11" s="8">
        <v>181.25</v>
      </c>
    </row>
    <row r="12" ht="14.5" spans="1:6">
      <c r="A12" s="8">
        <v>688012</v>
      </c>
      <c r="B12" s="6" t="s">
        <v>277</v>
      </c>
      <c r="C12" s="6" t="s">
        <v>174</v>
      </c>
      <c r="D12" s="8">
        <v>115</v>
      </c>
      <c r="E12" s="8">
        <v>1000981.33</v>
      </c>
      <c r="F12" s="8">
        <v>100.1</v>
      </c>
    </row>
    <row r="13" ht="14.5" spans="1:6">
      <c r="A13" s="8">
        <v>600519</v>
      </c>
      <c r="B13" s="6" t="s">
        <v>278</v>
      </c>
      <c r="C13" s="6" t="s">
        <v>170</v>
      </c>
      <c r="D13" s="8">
        <v>104</v>
      </c>
      <c r="E13" s="8">
        <v>381232.49</v>
      </c>
      <c r="F13" s="8">
        <v>38.12</v>
      </c>
    </row>
    <row r="14" ht="14.5" spans="1:6">
      <c r="A14" s="8" t="s">
        <v>279</v>
      </c>
      <c r="B14" s="6" t="s">
        <v>280</v>
      </c>
      <c r="C14" s="6" t="s">
        <v>174</v>
      </c>
      <c r="D14" s="8">
        <v>98</v>
      </c>
      <c r="E14" s="8">
        <v>645212.29</v>
      </c>
      <c r="F14" s="8">
        <v>64.52</v>
      </c>
    </row>
    <row r="15" ht="14.5" spans="1:6">
      <c r="A15" s="8">
        <v>688498</v>
      </c>
      <c r="B15" s="6" t="s">
        <v>281</v>
      </c>
      <c r="C15" s="6" t="s">
        <v>174</v>
      </c>
      <c r="D15" s="8">
        <v>95</v>
      </c>
      <c r="E15" s="8">
        <v>1076897.31</v>
      </c>
      <c r="F15" s="8">
        <v>107.69</v>
      </c>
    </row>
    <row r="16" ht="14.5" spans="1:6">
      <c r="A16" s="8">
        <v>300604</v>
      </c>
      <c r="B16" s="6" t="s">
        <v>282</v>
      </c>
      <c r="C16" s="6" t="s">
        <v>174</v>
      </c>
      <c r="D16" s="8">
        <v>88</v>
      </c>
      <c r="E16" s="8">
        <v>771360.08</v>
      </c>
      <c r="F16" s="8">
        <v>77.14</v>
      </c>
    </row>
    <row r="17" ht="14.5" spans="1:6">
      <c r="A17" s="8">
        <v>688041</v>
      </c>
      <c r="B17" s="6" t="s">
        <v>283</v>
      </c>
      <c r="C17" s="6" t="s">
        <v>174</v>
      </c>
      <c r="D17" s="8">
        <v>88</v>
      </c>
      <c r="E17" s="8">
        <v>655187.35</v>
      </c>
      <c r="F17" s="8">
        <v>65.52</v>
      </c>
    </row>
    <row r="18" ht="14.5" spans="1:6">
      <c r="A18" s="8" t="s">
        <v>284</v>
      </c>
      <c r="B18" s="6" t="s">
        <v>285</v>
      </c>
      <c r="C18" s="6" t="s">
        <v>171</v>
      </c>
      <c r="D18" s="8">
        <v>86</v>
      </c>
      <c r="E18" s="8">
        <v>608587.06</v>
      </c>
      <c r="F18" s="8">
        <v>60.86</v>
      </c>
    </row>
    <row r="19" ht="14.5" spans="1:6">
      <c r="A19" s="8" t="s">
        <v>286</v>
      </c>
      <c r="B19" s="6" t="s">
        <v>287</v>
      </c>
      <c r="C19" s="6" t="s">
        <v>174</v>
      </c>
      <c r="D19" s="8">
        <v>84</v>
      </c>
      <c r="E19" s="8">
        <v>579823.16</v>
      </c>
      <c r="F19" s="8">
        <v>57.98</v>
      </c>
    </row>
    <row r="20" ht="14.5" spans="1:6">
      <c r="A20" s="8">
        <v>600276</v>
      </c>
      <c r="B20" s="6" t="s">
        <v>288</v>
      </c>
      <c r="C20" s="6" t="s">
        <v>169</v>
      </c>
      <c r="D20" s="8">
        <v>78</v>
      </c>
      <c r="E20" s="8">
        <v>513106.23</v>
      </c>
      <c r="F20" s="8">
        <v>51.31</v>
      </c>
    </row>
    <row r="21" ht="14.5" spans="1:6">
      <c r="A21" s="8">
        <v>688072</v>
      </c>
      <c r="B21" s="6" t="s">
        <v>289</v>
      </c>
      <c r="C21" s="6" t="s">
        <v>174</v>
      </c>
      <c r="D21" s="8">
        <v>78</v>
      </c>
      <c r="E21" s="8">
        <v>323726.81</v>
      </c>
      <c r="F21" s="8">
        <v>32.37</v>
      </c>
    </row>
    <row r="22" ht="14.5" spans="1:6">
      <c r="A22" s="8">
        <v>300408</v>
      </c>
      <c r="B22" s="6" t="s">
        <v>290</v>
      </c>
      <c r="C22" s="6" t="s">
        <v>174</v>
      </c>
      <c r="D22" s="8">
        <v>71</v>
      </c>
      <c r="E22" s="8">
        <v>636035.38</v>
      </c>
      <c r="F22" s="8">
        <v>63.6</v>
      </c>
    </row>
    <row r="23" ht="14.5" spans="1:6">
      <c r="A23" s="8">
        <v>601899</v>
      </c>
      <c r="B23" s="6" t="s">
        <v>291</v>
      </c>
      <c r="C23" s="6" t="s">
        <v>292</v>
      </c>
      <c r="D23" s="8">
        <v>70</v>
      </c>
      <c r="E23" s="8">
        <v>285043.61</v>
      </c>
      <c r="F23" s="8">
        <v>28.5</v>
      </c>
    </row>
    <row r="24" ht="14.5" spans="1:6">
      <c r="A24" s="8">
        <v>688981</v>
      </c>
      <c r="B24" s="6" t="s">
        <v>293</v>
      </c>
      <c r="C24" s="6" t="s">
        <v>174</v>
      </c>
      <c r="D24" s="8">
        <v>66</v>
      </c>
      <c r="E24" s="8">
        <v>386657.28</v>
      </c>
      <c r="F24" s="8">
        <v>38.67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workbookViewId="0">
      <selection activeCell="L4" sqref="L4"/>
    </sheetView>
  </sheetViews>
  <sheetFormatPr defaultColWidth="9" defaultRowHeight="14" outlineLevelCol="6"/>
  <cols>
    <col min="1" max="5" width="18" customWidth="1"/>
    <col min="6" max="6" width="19.4545454545455" customWidth="1"/>
    <col min="7" max="7" width="18" customWidth="1"/>
  </cols>
  <sheetData>
    <row r="1" ht="22" customHeight="1" spans="1:7">
      <c r="A1" s="1" t="s">
        <v>294</v>
      </c>
    </row>
    <row r="2" spans="1:7">
      <c r="A2" s="2" t="s">
        <v>295</v>
      </c>
    </row>
    <row r="4" ht="14.5" spans="1:7">
      <c r="A4" s="3" t="s">
        <v>296</v>
      </c>
      <c r="B4" s="3" t="s">
        <v>297</v>
      </c>
      <c r="C4" s="3" t="s">
        <v>298</v>
      </c>
      <c r="D4" s="3" t="s">
        <v>299</v>
      </c>
      <c r="E4" s="3" t="s">
        <v>300</v>
      </c>
      <c r="F4" s="3" t="s">
        <v>301</v>
      </c>
      <c r="G4" s="3" t="s">
        <v>302</v>
      </c>
    </row>
    <row r="5" ht="14.5" spans="1:7">
      <c r="A5" s="6" t="s">
        <v>123</v>
      </c>
      <c r="B5" s="8">
        <v>255</v>
      </c>
      <c r="C5" s="8">
        <v>44.52</v>
      </c>
      <c r="D5" s="8">
        <v>46.05</v>
      </c>
      <c r="E5" s="8">
        <v>9.8</v>
      </c>
      <c r="F5" s="8">
        <v>141.38</v>
      </c>
      <c r="G5" s="8">
        <v>3898.5</v>
      </c>
    </row>
    <row r="6" ht="14.5" spans="1:7">
      <c r="A6" s="6" t="s">
        <v>124</v>
      </c>
      <c r="B6" s="8">
        <v>275</v>
      </c>
      <c r="C6" s="8">
        <v>43.69</v>
      </c>
      <c r="D6" s="8">
        <v>44.28</v>
      </c>
      <c r="E6" s="8">
        <v>9.87</v>
      </c>
      <c r="F6" s="8">
        <v>124.24</v>
      </c>
      <c r="G6" s="8">
        <v>3510.98</v>
      </c>
    </row>
    <row r="7" ht="14.5" spans="1:7">
      <c r="A7" s="6" t="s">
        <v>125</v>
      </c>
      <c r="B7" s="8">
        <v>287</v>
      </c>
      <c r="C7" s="8">
        <v>44.82</v>
      </c>
      <c r="D7" s="8">
        <v>44.21</v>
      </c>
      <c r="E7" s="8">
        <v>9.93</v>
      </c>
      <c r="F7" s="8">
        <v>111.71</v>
      </c>
      <c r="G7" s="8">
        <v>3438.86</v>
      </c>
    </row>
    <row r="8" ht="14.5" spans="1:7">
      <c r="A8" s="6" t="s">
        <v>126</v>
      </c>
      <c r="B8" s="8">
        <v>297</v>
      </c>
      <c r="C8" s="8">
        <v>43.78</v>
      </c>
      <c r="D8" s="8">
        <v>44.72</v>
      </c>
      <c r="E8" s="8">
        <v>10</v>
      </c>
      <c r="F8" s="8">
        <v>95.24</v>
      </c>
      <c r="G8" s="8">
        <v>3010.65</v>
      </c>
    </row>
    <row r="9" ht="14.5" spans="1:7">
      <c r="A9" s="6" t="s">
        <v>127</v>
      </c>
      <c r="B9" s="8">
        <v>308</v>
      </c>
      <c r="C9" s="8">
        <v>44.88</v>
      </c>
      <c r="D9" s="8">
        <v>45.36</v>
      </c>
      <c r="E9" s="8">
        <v>9.99</v>
      </c>
      <c r="F9" s="8">
        <v>105.42</v>
      </c>
      <c r="G9" s="8">
        <v>3872.34</v>
      </c>
    </row>
    <row r="10" ht="14.5" spans="1:7">
      <c r="A10" s="6" t="s">
        <v>128</v>
      </c>
      <c r="B10" s="8">
        <v>322</v>
      </c>
      <c r="C10" s="8">
        <v>46.61</v>
      </c>
      <c r="D10" s="8">
        <v>47.78</v>
      </c>
      <c r="E10" s="8">
        <v>9.98</v>
      </c>
      <c r="F10" s="8">
        <v>123.05</v>
      </c>
      <c r="G10" s="8">
        <v>3825.59</v>
      </c>
    </row>
    <row r="11" ht="14.5" spans="1:7">
      <c r="A11" s="6" t="s">
        <v>129</v>
      </c>
      <c r="B11" s="8">
        <v>342</v>
      </c>
      <c r="C11" s="8">
        <v>47.58</v>
      </c>
      <c r="D11" s="8">
        <v>48.38</v>
      </c>
      <c r="E11" s="8">
        <v>9.99</v>
      </c>
      <c r="F11" s="8">
        <v>152.41</v>
      </c>
      <c r="G11" s="8">
        <v>3814.53</v>
      </c>
    </row>
    <row r="12" ht="14.5" spans="1:7">
      <c r="A12" s="6" t="s">
        <v>130</v>
      </c>
      <c r="B12" s="8">
        <v>348</v>
      </c>
      <c r="C12" s="8">
        <v>47.71</v>
      </c>
      <c r="D12" s="8">
        <v>48.28</v>
      </c>
      <c r="E12" s="8">
        <v>10</v>
      </c>
      <c r="F12" s="8">
        <v>164.1</v>
      </c>
      <c r="G12" s="8">
        <v>4096.58</v>
      </c>
    </row>
    <row r="13" ht="14.5" spans="1:7">
      <c r="A13" s="6" t="s">
        <v>131</v>
      </c>
      <c r="B13" s="8">
        <v>368</v>
      </c>
      <c r="C13" s="8">
        <v>46.53</v>
      </c>
      <c r="D13" s="8">
        <v>47.81</v>
      </c>
      <c r="E13" s="8">
        <v>9.98</v>
      </c>
      <c r="F13" s="8">
        <v>174.09</v>
      </c>
      <c r="G13" s="8">
        <v>3686.16</v>
      </c>
    </row>
    <row r="14" ht="14.5" spans="1:7">
      <c r="A14" s="6" t="s">
        <v>132</v>
      </c>
      <c r="B14" s="8">
        <v>388</v>
      </c>
      <c r="C14" s="8">
        <v>47.37</v>
      </c>
      <c r="D14" s="8">
        <v>48.74</v>
      </c>
      <c r="E14" s="8">
        <v>9.97</v>
      </c>
      <c r="F14" s="8">
        <v>237.86</v>
      </c>
      <c r="G14" s="8">
        <v>4163.96</v>
      </c>
    </row>
    <row r="15" ht="14.5" spans="1:7">
      <c r="A15" s="6" t="s">
        <v>133</v>
      </c>
      <c r="B15" s="8">
        <v>425</v>
      </c>
      <c r="C15" s="8">
        <v>46.58</v>
      </c>
      <c r="D15" s="8">
        <v>48.2</v>
      </c>
      <c r="E15" s="8">
        <v>9.9</v>
      </c>
      <c r="F15" s="8">
        <v>288.56</v>
      </c>
      <c r="G15" s="8">
        <v>4587.4</v>
      </c>
    </row>
    <row r="16" ht="14.5" spans="1:7">
      <c r="A16" s="6" t="s">
        <v>134</v>
      </c>
      <c r="B16" s="8">
        <v>465</v>
      </c>
      <c r="C16" s="8">
        <v>50.17</v>
      </c>
      <c r="D16" s="8">
        <v>51.29</v>
      </c>
      <c r="E16" s="8">
        <v>9.98</v>
      </c>
      <c r="F16" s="8">
        <v>403.91</v>
      </c>
      <c r="G16" s="8">
        <v>5211.29</v>
      </c>
    </row>
    <row r="17" ht="14.5" spans="1:7">
      <c r="A17" s="6" t="s">
        <v>135</v>
      </c>
      <c r="B17" s="8">
        <v>526</v>
      </c>
      <c r="C17" s="8">
        <v>48.84</v>
      </c>
      <c r="D17" s="8">
        <v>50.55</v>
      </c>
      <c r="E17" s="8">
        <v>9.91</v>
      </c>
      <c r="F17" s="8">
        <v>421.88</v>
      </c>
      <c r="G17" s="8">
        <v>5048.36</v>
      </c>
    </row>
    <row r="18" ht="14.5" spans="1:7">
      <c r="A18" s="6" t="s">
        <v>136</v>
      </c>
      <c r="B18" s="8">
        <v>558</v>
      </c>
      <c r="C18" s="8">
        <v>50.62</v>
      </c>
      <c r="D18" s="8">
        <v>51.68</v>
      </c>
      <c r="E18" s="8">
        <v>10</v>
      </c>
      <c r="F18" s="8">
        <v>532.4</v>
      </c>
      <c r="G18" s="8">
        <v>5224.04</v>
      </c>
    </row>
    <row r="19" ht="14.5" spans="1:7">
      <c r="A19" s="6" t="s">
        <v>137</v>
      </c>
      <c r="B19" s="8">
        <v>609</v>
      </c>
      <c r="C19" s="8">
        <v>49.47</v>
      </c>
      <c r="D19" s="8">
        <v>49.8</v>
      </c>
      <c r="E19" s="8">
        <v>9.96</v>
      </c>
      <c r="F19" s="8">
        <v>533.68</v>
      </c>
      <c r="G19" s="8">
        <v>4866.38</v>
      </c>
    </row>
    <row r="20" ht="14.5" spans="1:7">
      <c r="A20" s="6" t="s">
        <v>138</v>
      </c>
      <c r="B20" s="8">
        <v>650</v>
      </c>
      <c r="C20" s="8">
        <v>47.69</v>
      </c>
      <c r="D20" s="8">
        <v>48.7</v>
      </c>
      <c r="E20" s="8">
        <v>9.96</v>
      </c>
      <c r="F20" s="8">
        <v>639.89</v>
      </c>
      <c r="G20" s="8">
        <v>4940.37</v>
      </c>
    </row>
    <row r="21" ht="14.5" spans="1:7">
      <c r="A21" s="6" t="s">
        <v>139</v>
      </c>
      <c r="B21" s="8">
        <v>705</v>
      </c>
      <c r="C21" s="8">
        <v>47.48</v>
      </c>
      <c r="D21" s="8">
        <v>48.69</v>
      </c>
      <c r="E21" s="8">
        <v>10</v>
      </c>
      <c r="F21" s="8">
        <v>674.64</v>
      </c>
      <c r="G21" s="8">
        <v>4222.6</v>
      </c>
    </row>
    <row r="22" ht="14.5" spans="1:7">
      <c r="A22" s="6" t="s">
        <v>140</v>
      </c>
      <c r="B22" s="8">
        <v>719</v>
      </c>
      <c r="C22" s="8">
        <v>48.51</v>
      </c>
      <c r="D22" s="8">
        <v>50.24</v>
      </c>
      <c r="E22" s="8">
        <v>10</v>
      </c>
      <c r="F22" s="8">
        <v>716.39</v>
      </c>
      <c r="G22" s="8">
        <v>4485.01</v>
      </c>
    </row>
    <row r="23" ht="14.5" spans="1:7">
      <c r="A23" s="6" t="s">
        <v>141</v>
      </c>
      <c r="B23" s="8">
        <v>740</v>
      </c>
      <c r="C23" s="8">
        <v>47.86</v>
      </c>
      <c r="D23" s="8">
        <v>48.64</v>
      </c>
      <c r="E23" s="8">
        <v>10</v>
      </c>
      <c r="F23" s="8">
        <v>871.92</v>
      </c>
      <c r="G23" s="8">
        <v>3804.88</v>
      </c>
    </row>
    <row r="24" ht="14.5" spans="1:7">
      <c r="A24" s="6" t="s">
        <v>142</v>
      </c>
      <c r="B24" s="8">
        <v>757</v>
      </c>
      <c r="C24" s="8">
        <v>47.01</v>
      </c>
      <c r="D24" s="8">
        <v>47.9</v>
      </c>
      <c r="E24" s="8">
        <v>10</v>
      </c>
      <c r="F24" s="8">
        <v>921.84</v>
      </c>
      <c r="G24" s="8">
        <v>3871.63</v>
      </c>
    </row>
    <row r="25" ht="14.5" spans="1:7">
      <c r="A25" s="6" t="s">
        <v>143</v>
      </c>
      <c r="B25" s="8">
        <v>783</v>
      </c>
      <c r="C25" s="8">
        <v>46.54</v>
      </c>
      <c r="D25" s="8">
        <v>46.56</v>
      </c>
      <c r="E25" s="8">
        <v>10</v>
      </c>
      <c r="F25" s="8">
        <v>961.4</v>
      </c>
      <c r="G25" s="8">
        <v>4050.93</v>
      </c>
    </row>
    <row r="26" ht="14.5" spans="1:7">
      <c r="A26" s="6" t="s">
        <v>144</v>
      </c>
      <c r="B26" s="8">
        <v>798</v>
      </c>
      <c r="C26" s="8">
        <v>46.54</v>
      </c>
      <c r="D26" s="8">
        <v>47.44</v>
      </c>
      <c r="E26" s="8">
        <v>10</v>
      </c>
      <c r="F26" s="8">
        <v>856.26</v>
      </c>
      <c r="G26" s="8">
        <v>3842.45</v>
      </c>
    </row>
    <row r="27" ht="14.5" spans="1:7">
      <c r="A27" s="6" t="s">
        <v>145</v>
      </c>
      <c r="B27" s="8">
        <v>824</v>
      </c>
      <c r="C27" s="8">
        <v>46.34</v>
      </c>
      <c r="D27" s="8">
        <v>46.53</v>
      </c>
      <c r="E27" s="8">
        <v>10</v>
      </c>
      <c r="F27" s="8">
        <v>820.36</v>
      </c>
      <c r="G27" s="8">
        <v>3689.52</v>
      </c>
    </row>
    <row r="28" ht="14.5" spans="1:7">
      <c r="A28" s="6" t="s">
        <v>146</v>
      </c>
      <c r="B28" s="8">
        <v>847</v>
      </c>
      <c r="C28" s="8">
        <v>45.7</v>
      </c>
      <c r="D28" s="8">
        <v>46.41</v>
      </c>
      <c r="E28" s="8">
        <v>10</v>
      </c>
      <c r="F28" s="8">
        <v>716.66</v>
      </c>
      <c r="G28" s="8">
        <v>3431.11</v>
      </c>
    </row>
    <row r="29" ht="14.5" spans="1:7">
      <c r="A29" s="6" t="s">
        <v>147</v>
      </c>
      <c r="B29" s="8">
        <v>869</v>
      </c>
      <c r="C29" s="8">
        <v>46.3</v>
      </c>
      <c r="D29" s="8">
        <v>46.79</v>
      </c>
      <c r="E29" s="8">
        <v>10</v>
      </c>
      <c r="F29" s="8">
        <v>674.47</v>
      </c>
      <c r="G29" s="8">
        <v>3537.48</v>
      </c>
    </row>
    <row r="30" ht="14.5" spans="1:7">
      <c r="A30" s="6" t="s">
        <v>148</v>
      </c>
      <c r="B30" s="8">
        <v>894</v>
      </c>
      <c r="C30" s="8">
        <v>46.59</v>
      </c>
      <c r="D30" s="8">
        <v>47.42</v>
      </c>
      <c r="E30" s="8">
        <v>9.98</v>
      </c>
      <c r="F30" s="8">
        <v>581.67</v>
      </c>
      <c r="G30" s="8">
        <v>3461.66</v>
      </c>
    </row>
    <row r="31" ht="14.5" spans="1:7">
      <c r="A31" s="6" t="s">
        <v>149</v>
      </c>
      <c r="B31" s="8">
        <v>917</v>
      </c>
      <c r="C31" s="8">
        <v>47.72</v>
      </c>
      <c r="D31" s="8">
        <v>48.6</v>
      </c>
      <c r="E31" s="8">
        <v>10</v>
      </c>
      <c r="F31" s="8">
        <v>685.02</v>
      </c>
      <c r="G31" s="8">
        <v>4017.86</v>
      </c>
    </row>
    <row r="32" ht="14.5" spans="1:7">
      <c r="A32" s="6" t="s">
        <v>150</v>
      </c>
      <c r="B32" s="8">
        <v>935</v>
      </c>
      <c r="C32" s="8">
        <v>46.34</v>
      </c>
      <c r="D32" s="8">
        <v>47.05</v>
      </c>
      <c r="E32" s="8">
        <v>10</v>
      </c>
      <c r="F32" s="8">
        <v>896.07</v>
      </c>
      <c r="G32" s="8">
        <v>3934.91</v>
      </c>
    </row>
    <row r="33" ht="14.5" spans="1:7">
      <c r="A33" s="6" t="s">
        <v>151</v>
      </c>
      <c r="B33" s="8">
        <v>955</v>
      </c>
      <c r="C33" s="8">
        <v>46.06</v>
      </c>
      <c r="D33" s="8">
        <v>47.5</v>
      </c>
      <c r="E33" s="8">
        <v>10</v>
      </c>
      <c r="F33" s="8">
        <v>874.97</v>
      </c>
      <c r="G33" s="8">
        <v>3887.31</v>
      </c>
    </row>
    <row r="34" ht="14.5" spans="1:7">
      <c r="A34" s="6" t="s">
        <v>152</v>
      </c>
      <c r="B34" s="8">
        <v>981</v>
      </c>
      <c r="C34" s="8">
        <v>46.02</v>
      </c>
      <c r="D34" s="8">
        <v>47.7</v>
      </c>
      <c r="E34" s="8">
        <v>10</v>
      </c>
      <c r="F34" s="8">
        <v>964.62</v>
      </c>
      <c r="G34" s="8">
        <v>3936.08</v>
      </c>
    </row>
    <row r="35" ht="14.5" spans="1:7">
      <c r="A35" s="6" t="s">
        <v>153</v>
      </c>
      <c r="B35" s="8">
        <v>1005</v>
      </c>
      <c r="C35" s="8">
        <v>47.82</v>
      </c>
      <c r="D35" s="8">
        <v>50.36</v>
      </c>
      <c r="E35" s="8">
        <v>10</v>
      </c>
      <c r="F35" s="8">
        <v>1050.5</v>
      </c>
      <c r="G35" s="8">
        <v>4640.69</v>
      </c>
    </row>
    <row r="36" ht="14.5" spans="1:7">
      <c r="A36" s="6" t="s">
        <v>154</v>
      </c>
      <c r="B36" s="8">
        <v>1024</v>
      </c>
      <c r="C36" s="8">
        <v>47.52</v>
      </c>
      <c r="D36" s="8">
        <v>49.32</v>
      </c>
      <c r="E36" s="8">
        <v>9.99</v>
      </c>
      <c r="F36" s="8">
        <v>919.37</v>
      </c>
      <c r="G36" s="8">
        <v>4629.94</v>
      </c>
    </row>
    <row r="37" ht="14.5" spans="1:7">
      <c r="A37" s="6" t="s">
        <v>155</v>
      </c>
      <c r="B37" s="8">
        <v>1048</v>
      </c>
      <c r="C37" s="8">
        <v>46.84</v>
      </c>
      <c r="D37" s="8">
        <v>49.42</v>
      </c>
      <c r="E37" s="8">
        <v>10</v>
      </c>
      <c r="F37" s="8">
        <v>780.56</v>
      </c>
      <c r="G37" s="8">
        <v>4450.05</v>
      </c>
    </row>
    <row r="38" ht="14.5" spans="1:7">
      <c r="A38" s="6" t="s">
        <v>156</v>
      </c>
      <c r="B38" s="8">
        <v>1074</v>
      </c>
      <c r="C38" s="8">
        <v>48.53</v>
      </c>
      <c r="D38" s="8">
        <v>50.89</v>
      </c>
      <c r="E38" s="8">
        <v>9.99</v>
      </c>
      <c r="F38" s="8">
        <v>967.71</v>
      </c>
      <c r="G38" s="8">
        <v>4979.43</v>
      </c>
    </row>
    <row r="41" spans="1:7">
      <c r="A41" s="2" t="s">
        <v>303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J11" sqref="J11"/>
    </sheetView>
  </sheetViews>
  <sheetFormatPr defaultColWidth="9" defaultRowHeight="14" outlineLevelCol="2"/>
  <cols>
    <col min="1" max="1" width="16" customWidth="1"/>
    <col min="2" max="2" width="12" customWidth="1"/>
    <col min="3" max="3" width="16" customWidth="1"/>
  </cols>
  <sheetData>
    <row r="1" ht="22" customHeight="1" spans="1:3">
      <c r="A1" s="1" t="s">
        <v>304</v>
      </c>
    </row>
    <row r="2" spans="1:3">
      <c r="A2" s="2" t="s">
        <v>305</v>
      </c>
    </row>
    <row r="4" ht="14.5" spans="1:3">
      <c r="A4" s="3" t="s">
        <v>306</v>
      </c>
      <c r="B4" s="3" t="s">
        <v>307</v>
      </c>
      <c r="C4" s="3" t="s">
        <v>308</v>
      </c>
    </row>
    <row r="5" ht="14.5" spans="1:3">
      <c r="A5" s="6" t="s">
        <v>309</v>
      </c>
      <c r="B5" s="8">
        <v>8248</v>
      </c>
      <c r="C5" s="8">
        <v>29.47</v>
      </c>
    </row>
    <row r="6" ht="14.5" spans="1:3">
      <c r="A6" s="6" t="s">
        <v>310</v>
      </c>
      <c r="B6" s="8">
        <v>7452</v>
      </c>
      <c r="C6" s="8">
        <v>26.62</v>
      </c>
    </row>
    <row r="7" ht="14.5" spans="1:3">
      <c r="A7" s="6" t="s">
        <v>311</v>
      </c>
      <c r="B7" s="8">
        <v>6842</v>
      </c>
      <c r="C7" s="8">
        <v>24.44</v>
      </c>
    </row>
    <row r="8" ht="14.5" spans="1:3">
      <c r="A8" s="6" t="s">
        <v>312</v>
      </c>
      <c r="B8" s="8">
        <v>1548</v>
      </c>
      <c r="C8" s="8">
        <v>5.53</v>
      </c>
    </row>
    <row r="9" ht="14.5" spans="1:3">
      <c r="A9" s="6" t="s">
        <v>313</v>
      </c>
      <c r="B9" s="8">
        <v>1370</v>
      </c>
      <c r="C9" s="8">
        <v>4.89</v>
      </c>
    </row>
    <row r="10" ht="14.5" spans="1:3">
      <c r="A10" s="6" t="s">
        <v>314</v>
      </c>
      <c r="B10" s="8">
        <v>1145</v>
      </c>
      <c r="C10" s="8">
        <v>4.09</v>
      </c>
    </row>
    <row r="11" ht="14.5" spans="1:3">
      <c r="A11" s="6" t="s">
        <v>315</v>
      </c>
      <c r="B11" s="8">
        <v>977</v>
      </c>
      <c r="C11" s="8">
        <v>3.49</v>
      </c>
    </row>
    <row r="12" ht="14.5" spans="1:3">
      <c r="A12" s="6" t="s">
        <v>316</v>
      </c>
      <c r="B12" s="8">
        <v>306</v>
      </c>
      <c r="C12" s="8">
        <v>1.09</v>
      </c>
    </row>
    <row r="13" ht="14.5" spans="1:3">
      <c r="A13" s="6" t="s">
        <v>317</v>
      </c>
      <c r="B13" s="8">
        <v>103</v>
      </c>
      <c r="C13" s="8">
        <v>0.37</v>
      </c>
    </row>
    <row r="15" spans="1:3">
      <c r="A15" s="2" t="s">
        <v>318</v>
      </c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"/>
  <sheetViews>
    <sheetView topLeftCell="A21" workbookViewId="0">
      <selection activeCell="D5" sqref="D5"/>
    </sheetView>
  </sheetViews>
  <sheetFormatPr defaultColWidth="9" defaultRowHeight="14"/>
  <cols>
    <col min="1" max="13" width="12" customWidth="1"/>
  </cols>
  <sheetData>
    <row r="1" ht="22" customHeight="1" spans="1:12">
      <c r="A1" s="1" t="s">
        <v>319</v>
      </c>
    </row>
    <row r="2" spans="1:12">
      <c r="A2" s="2" t="s">
        <v>320</v>
      </c>
    </row>
    <row r="4" ht="14.5" spans="1:12">
      <c r="A4" s="3" t="s">
        <v>321</v>
      </c>
      <c r="B4" s="3" t="s">
        <v>322</v>
      </c>
      <c r="C4" s="3" t="s">
        <v>323</v>
      </c>
      <c r="D4" s="3" t="s">
        <v>324</v>
      </c>
      <c r="E4" s="3" t="s">
        <v>325</v>
      </c>
      <c r="F4" s="3" t="s">
        <v>326</v>
      </c>
      <c r="G4" s="3" t="s">
        <v>327</v>
      </c>
      <c r="H4" s="3" t="s">
        <v>328</v>
      </c>
      <c r="I4" s="3" t="s">
        <v>329</v>
      </c>
      <c r="J4" s="3" t="s">
        <v>330</v>
      </c>
      <c r="K4" s="3" t="s">
        <v>331</v>
      </c>
      <c r="L4" s="3" t="s">
        <v>332</v>
      </c>
    </row>
    <row r="5" ht="14.5" spans="1:12">
      <c r="A5" s="6" t="s">
        <v>174</v>
      </c>
      <c r="B5" s="8">
        <v>17.58</v>
      </c>
      <c r="C5" s="8">
        <v>-8.43</v>
      </c>
      <c r="D5" s="8">
        <v>6.775</v>
      </c>
      <c r="E5" s="8">
        <v>1.74</v>
      </c>
      <c r="F5" s="8">
        <v>-11.06</v>
      </c>
      <c r="G5" s="8">
        <v>-6.55</v>
      </c>
      <c r="H5" s="8">
        <v>-0.54</v>
      </c>
      <c r="I5" s="8">
        <v>2.99</v>
      </c>
      <c r="J5" s="8">
        <v>3.84</v>
      </c>
      <c r="K5" s="8">
        <v>100</v>
      </c>
      <c r="L5" s="6" t="s">
        <v>333</v>
      </c>
    </row>
    <row r="6" ht="14.5" spans="1:12">
      <c r="A6" s="6" t="s">
        <v>175</v>
      </c>
      <c r="B6" s="8">
        <v>6.89</v>
      </c>
      <c r="C6" s="8">
        <v>-5.3</v>
      </c>
      <c r="D6" s="8">
        <v>3.377</v>
      </c>
      <c r="E6" s="8">
        <v>-0.24</v>
      </c>
      <c r="F6" s="8">
        <v>-6.53</v>
      </c>
      <c r="G6" s="8">
        <v>-4.18</v>
      </c>
      <c r="H6" s="8">
        <v>-1.61</v>
      </c>
      <c r="I6" s="8">
        <v>1.62</v>
      </c>
      <c r="J6" s="8">
        <v>3.61</v>
      </c>
      <c r="K6" s="8">
        <v>100</v>
      </c>
      <c r="L6" s="6" t="s">
        <v>333</v>
      </c>
    </row>
    <row r="7" ht="14.5" spans="1:12">
      <c r="A7" s="6" t="s">
        <v>169</v>
      </c>
      <c r="B7" s="8">
        <v>6.19</v>
      </c>
      <c r="C7" s="8">
        <v>14.07</v>
      </c>
      <c r="D7" s="8">
        <v>2.901</v>
      </c>
      <c r="E7" s="8">
        <v>18.42</v>
      </c>
      <c r="F7" s="8">
        <v>13.72</v>
      </c>
      <c r="G7" s="8">
        <v>15.38</v>
      </c>
      <c r="H7" s="8">
        <v>16.06</v>
      </c>
      <c r="I7" s="8">
        <v>17.97</v>
      </c>
      <c r="J7" s="8">
        <v>-2.72</v>
      </c>
      <c r="K7" s="8">
        <v>2.9</v>
      </c>
      <c r="L7" s="6" t="s">
        <v>334</v>
      </c>
    </row>
    <row r="8" ht="14.5" spans="1:12">
      <c r="A8" s="6" t="s">
        <v>172</v>
      </c>
      <c r="B8" s="8">
        <v>3.7</v>
      </c>
      <c r="C8" s="8">
        <v>7.38</v>
      </c>
      <c r="D8" s="8">
        <v>6.237</v>
      </c>
      <c r="E8" s="8">
        <v>16.74</v>
      </c>
      <c r="F8" s="8">
        <v>7</v>
      </c>
      <c r="G8" s="8">
        <v>11.53</v>
      </c>
      <c r="H8" s="8">
        <v>16.68</v>
      </c>
      <c r="I8" s="8">
        <v>17.91</v>
      </c>
      <c r="J8" s="8">
        <v>-0.59</v>
      </c>
      <c r="K8" s="8">
        <v>32.4</v>
      </c>
      <c r="L8" s="6" t="s">
        <v>335</v>
      </c>
    </row>
    <row r="9" ht="14.5" spans="1:12">
      <c r="A9" s="6" t="s">
        <v>336</v>
      </c>
      <c r="B9" s="8">
        <v>3.01</v>
      </c>
      <c r="C9" s="8">
        <v>0.36</v>
      </c>
      <c r="D9" s="8">
        <v>1.181</v>
      </c>
      <c r="E9" s="8">
        <v>2.13</v>
      </c>
      <c r="F9" s="8">
        <v>0.16</v>
      </c>
      <c r="G9" s="8">
        <v>1.38</v>
      </c>
      <c r="H9" s="8">
        <v>1.76</v>
      </c>
      <c r="I9" s="8">
        <v>1.95</v>
      </c>
      <c r="J9" s="8">
        <v>2.24</v>
      </c>
      <c r="K9" s="8">
        <v>100</v>
      </c>
      <c r="L9" s="6" t="s">
        <v>333</v>
      </c>
    </row>
    <row r="10" ht="14.5" spans="1:12">
      <c r="A10" s="6" t="s">
        <v>337</v>
      </c>
      <c r="B10" s="8">
        <v>1.04</v>
      </c>
      <c r="C10" s="8">
        <v>0.07</v>
      </c>
      <c r="D10" s="8">
        <v>0.843</v>
      </c>
      <c r="E10" s="8">
        <v>1.34</v>
      </c>
      <c r="F10" s="8">
        <v>0.01</v>
      </c>
      <c r="G10" s="8">
        <v>0.67</v>
      </c>
      <c r="H10" s="8">
        <v>1.14</v>
      </c>
      <c r="I10" s="8">
        <v>1.18</v>
      </c>
      <c r="J10" s="8">
        <v>1.15</v>
      </c>
      <c r="K10" s="8">
        <v>85.3</v>
      </c>
      <c r="L10" s="6" t="s">
        <v>338</v>
      </c>
    </row>
    <row r="11" ht="14.5" spans="1:12">
      <c r="A11" s="6" t="s">
        <v>339</v>
      </c>
      <c r="B11" s="8">
        <v>0.41</v>
      </c>
      <c r="C11" s="8">
        <v>0.08</v>
      </c>
      <c r="D11" s="8">
        <v>0.456</v>
      </c>
      <c r="E11" s="8">
        <v>0.76</v>
      </c>
      <c r="F11" s="8">
        <v>0.12</v>
      </c>
      <c r="G11" s="8">
        <v>0.26</v>
      </c>
      <c r="H11" s="8">
        <v>0.47</v>
      </c>
      <c r="I11" s="8">
        <v>0.64</v>
      </c>
      <c r="J11" s="8">
        <v>0.72</v>
      </c>
      <c r="K11" s="8">
        <v>88.2</v>
      </c>
      <c r="L11" s="6" t="s">
        <v>338</v>
      </c>
    </row>
    <row r="12" ht="14.5" spans="1:12">
      <c r="A12" s="6" t="s">
        <v>340</v>
      </c>
      <c r="B12" s="8">
        <v>0.26</v>
      </c>
      <c r="C12" s="8">
        <v>0.43</v>
      </c>
      <c r="D12" s="8">
        <v>0.292</v>
      </c>
      <c r="E12" s="8">
        <v>0.86</v>
      </c>
      <c r="F12" s="8">
        <v>0.36</v>
      </c>
      <c r="G12" s="8">
        <v>0.42</v>
      </c>
      <c r="H12" s="8">
        <v>0.87</v>
      </c>
      <c r="I12" s="8">
        <v>1.06</v>
      </c>
      <c r="J12" s="8">
        <v>-0.58</v>
      </c>
      <c r="K12" s="8">
        <v>23.5</v>
      </c>
      <c r="L12" s="6" t="s">
        <v>334</v>
      </c>
    </row>
    <row r="13" ht="14.5" spans="1:12">
      <c r="A13" s="6" t="s">
        <v>341</v>
      </c>
      <c r="B13" s="8">
        <v>0.19</v>
      </c>
      <c r="C13" s="8">
        <v>0.74</v>
      </c>
      <c r="D13" s="8">
        <v>0.628</v>
      </c>
      <c r="E13" s="8">
        <v>1.68</v>
      </c>
      <c r="F13" s="8">
        <v>0.55</v>
      </c>
      <c r="G13" s="8">
        <v>0.67</v>
      </c>
      <c r="H13" s="8">
        <v>1.58</v>
      </c>
      <c r="I13" s="8">
        <v>2.24</v>
      </c>
      <c r="J13" s="8">
        <v>-0.88</v>
      </c>
      <c r="K13" s="8">
        <v>2.9</v>
      </c>
      <c r="L13" s="6" t="s">
        <v>334</v>
      </c>
    </row>
    <row r="14" ht="14.5" spans="1:12">
      <c r="A14" s="6" t="s">
        <v>342</v>
      </c>
      <c r="B14" s="8">
        <v>0.16</v>
      </c>
      <c r="C14" s="8">
        <v>0.24</v>
      </c>
      <c r="D14" s="8">
        <v>0.283</v>
      </c>
      <c r="E14" s="8">
        <v>0.66</v>
      </c>
      <c r="F14" s="8">
        <v>0.14</v>
      </c>
      <c r="G14" s="8">
        <v>0.23</v>
      </c>
      <c r="H14" s="8">
        <v>0.66</v>
      </c>
      <c r="I14" s="8">
        <v>0.96</v>
      </c>
      <c r="J14" s="8">
        <v>-0.27</v>
      </c>
      <c r="K14" s="8">
        <v>58.8</v>
      </c>
      <c r="L14" s="6" t="s">
        <v>335</v>
      </c>
    </row>
    <row r="15" ht="14.5" spans="1:12">
      <c r="A15" s="6" t="s">
        <v>343</v>
      </c>
      <c r="B15" s="8">
        <v>0.11</v>
      </c>
      <c r="C15" s="8">
        <v>0.44</v>
      </c>
      <c r="D15" s="8">
        <v>0.263</v>
      </c>
      <c r="E15" s="8">
        <v>0.84</v>
      </c>
      <c r="F15" s="8">
        <v>0.33</v>
      </c>
      <c r="G15" s="8">
        <v>0.58</v>
      </c>
      <c r="H15" s="8">
        <v>0.75</v>
      </c>
      <c r="I15" s="8">
        <v>0.97</v>
      </c>
      <c r="J15" s="8">
        <v>-1.26</v>
      </c>
      <c r="K15" s="8">
        <v>2.9</v>
      </c>
      <c r="L15" s="6" t="s">
        <v>334</v>
      </c>
    </row>
    <row r="16" ht="14.5" spans="1:12">
      <c r="A16" s="6" t="s">
        <v>344</v>
      </c>
      <c r="B16" s="8">
        <v>0.01</v>
      </c>
      <c r="C16" s="8">
        <v>0.02</v>
      </c>
      <c r="D16" s="8">
        <v>0.03</v>
      </c>
      <c r="E16" s="8">
        <v>0.07</v>
      </c>
      <c r="F16" s="8">
        <v>0.01</v>
      </c>
      <c r="G16" s="8">
        <v>0.04</v>
      </c>
      <c r="H16" s="8">
        <v>0.06</v>
      </c>
      <c r="I16" s="8">
        <v>0.08</v>
      </c>
      <c r="J16" s="8">
        <v>-0.53</v>
      </c>
      <c r="K16" s="8">
        <v>52.9</v>
      </c>
      <c r="L16" s="6" t="s">
        <v>335</v>
      </c>
    </row>
    <row r="17" ht="14.5" spans="1:12">
      <c r="A17" s="6" t="s">
        <v>345</v>
      </c>
      <c r="B17" s="8">
        <v>-0.03</v>
      </c>
      <c r="C17" s="8">
        <v>0.14</v>
      </c>
      <c r="D17" s="8">
        <v>0.189</v>
      </c>
      <c r="E17" s="8">
        <v>0.42</v>
      </c>
      <c r="F17" s="8">
        <v>0.09</v>
      </c>
      <c r="G17" s="8">
        <v>0.16</v>
      </c>
      <c r="H17" s="8">
        <v>0.41</v>
      </c>
      <c r="I17" s="8">
        <v>0.52</v>
      </c>
      <c r="J17" s="8">
        <v>-0.9</v>
      </c>
      <c r="K17" s="8">
        <v>11.8</v>
      </c>
      <c r="L17" s="6" t="s">
        <v>334</v>
      </c>
    </row>
    <row r="18" ht="14.5" spans="1:12">
      <c r="A18" s="6" t="s">
        <v>346</v>
      </c>
      <c r="B18" s="8">
        <v>-0.1</v>
      </c>
      <c r="C18" s="8">
        <v>0.92</v>
      </c>
      <c r="D18" s="8">
        <v>0.654</v>
      </c>
      <c r="E18" s="8">
        <v>1.9</v>
      </c>
      <c r="F18" s="8">
        <v>0.83</v>
      </c>
      <c r="G18" s="8">
        <v>1.34</v>
      </c>
      <c r="H18" s="8">
        <v>1.71</v>
      </c>
      <c r="I18" s="8">
        <v>1.76</v>
      </c>
      <c r="J18" s="8">
        <v>-1.55</v>
      </c>
      <c r="K18" s="8">
        <v>8.8</v>
      </c>
      <c r="L18" s="6" t="s">
        <v>334</v>
      </c>
    </row>
    <row r="19" ht="14.5" spans="1:12">
      <c r="A19" s="6" t="s">
        <v>347</v>
      </c>
      <c r="B19" s="8">
        <v>-0.11</v>
      </c>
      <c r="C19" s="8">
        <v>0.93</v>
      </c>
      <c r="D19" s="8">
        <v>0.97</v>
      </c>
      <c r="E19" s="8">
        <v>2.39</v>
      </c>
      <c r="F19" s="8">
        <v>0.55</v>
      </c>
      <c r="G19" s="8">
        <v>1.28</v>
      </c>
      <c r="H19" s="8">
        <v>2.22</v>
      </c>
      <c r="I19" s="8">
        <v>3.06</v>
      </c>
      <c r="J19" s="8">
        <v>-1.08</v>
      </c>
      <c r="K19" s="8">
        <v>2.9</v>
      </c>
      <c r="L19" s="6" t="s">
        <v>334</v>
      </c>
    </row>
    <row r="20" ht="14.5" spans="1:12">
      <c r="A20" s="6" t="s">
        <v>348</v>
      </c>
      <c r="B20" s="8">
        <v>-0.18</v>
      </c>
      <c r="C20" s="8">
        <v>0.52</v>
      </c>
      <c r="D20" s="8">
        <v>0.79</v>
      </c>
      <c r="E20" s="8">
        <v>1.7</v>
      </c>
      <c r="F20" s="8">
        <v>0.2</v>
      </c>
      <c r="G20" s="8">
        <v>1.23</v>
      </c>
      <c r="H20" s="8">
        <v>1.6</v>
      </c>
      <c r="I20" s="8">
        <v>1.83</v>
      </c>
      <c r="J20" s="8">
        <v>-0.89</v>
      </c>
      <c r="K20" s="8">
        <v>17.6</v>
      </c>
      <c r="L20" s="6" t="s">
        <v>334</v>
      </c>
    </row>
    <row r="21" ht="14.5" spans="1:12">
      <c r="A21" s="6" t="s">
        <v>349</v>
      </c>
      <c r="B21" s="8">
        <v>-0.32</v>
      </c>
      <c r="C21" s="8">
        <v>-0.14</v>
      </c>
      <c r="D21" s="8">
        <v>0.117</v>
      </c>
      <c r="E21" s="8">
        <v>0.04</v>
      </c>
      <c r="F21" s="8">
        <v>-0.14</v>
      </c>
      <c r="G21" s="8">
        <v>-0.05</v>
      </c>
      <c r="H21" s="8">
        <v>0.01</v>
      </c>
      <c r="I21" s="8">
        <v>0.06</v>
      </c>
      <c r="J21" s="8">
        <v>-1.55</v>
      </c>
      <c r="K21" s="8">
        <v>5.9</v>
      </c>
      <c r="L21" s="6" t="s">
        <v>334</v>
      </c>
    </row>
    <row r="22" ht="14.5" spans="1:12">
      <c r="A22" s="6" t="s">
        <v>350</v>
      </c>
      <c r="B22" s="8">
        <v>-0.49</v>
      </c>
      <c r="C22" s="8">
        <v>0.62</v>
      </c>
      <c r="D22" s="8">
        <v>1.061</v>
      </c>
      <c r="E22" s="8">
        <v>2.21</v>
      </c>
      <c r="F22" s="8">
        <v>0.23</v>
      </c>
      <c r="G22" s="8">
        <v>1.21</v>
      </c>
      <c r="H22" s="8">
        <v>2.57</v>
      </c>
      <c r="I22" s="8">
        <v>2.68</v>
      </c>
      <c r="J22" s="8">
        <v>-1.04</v>
      </c>
      <c r="K22" s="8">
        <v>8.8</v>
      </c>
      <c r="L22" s="6" t="s">
        <v>334</v>
      </c>
    </row>
    <row r="23" ht="14.5" spans="1:12">
      <c r="A23" s="6" t="s">
        <v>351</v>
      </c>
      <c r="B23" s="8">
        <v>-0.9</v>
      </c>
      <c r="C23" s="8">
        <v>0.86</v>
      </c>
      <c r="D23" s="8">
        <v>1.503</v>
      </c>
      <c r="E23" s="8">
        <v>3.12</v>
      </c>
      <c r="F23" s="8">
        <v>1.2</v>
      </c>
      <c r="G23" s="8">
        <v>1.9</v>
      </c>
      <c r="H23" s="8">
        <v>2.85</v>
      </c>
      <c r="I23" s="8">
        <v>3.18</v>
      </c>
      <c r="J23" s="8">
        <v>-1.17</v>
      </c>
      <c r="K23" s="8">
        <v>17.6</v>
      </c>
      <c r="L23" s="6" t="s">
        <v>334</v>
      </c>
    </row>
    <row r="24" ht="14.5" spans="1:12">
      <c r="A24" s="6" t="s">
        <v>171</v>
      </c>
      <c r="B24" s="8">
        <v>-0.98</v>
      </c>
      <c r="C24" s="8">
        <v>1.98</v>
      </c>
      <c r="D24" s="8">
        <v>2.649</v>
      </c>
      <c r="E24" s="8">
        <v>5.95</v>
      </c>
      <c r="F24" s="8">
        <v>1.47</v>
      </c>
      <c r="G24" s="8">
        <v>4.2</v>
      </c>
      <c r="H24" s="8">
        <v>5.99</v>
      </c>
      <c r="I24" s="8">
        <v>6.3</v>
      </c>
      <c r="J24" s="8">
        <v>-1.11</v>
      </c>
      <c r="K24" s="8">
        <v>17.6</v>
      </c>
      <c r="L24" s="6" t="s">
        <v>334</v>
      </c>
    </row>
    <row r="25" ht="14.5" spans="1:12">
      <c r="A25" s="6" t="s">
        <v>352</v>
      </c>
      <c r="B25" s="8">
        <v>-1.03</v>
      </c>
      <c r="C25" s="8">
        <v>-0.57</v>
      </c>
      <c r="D25" s="8">
        <v>0.388</v>
      </c>
      <c r="E25" s="8">
        <v>0.01</v>
      </c>
      <c r="F25" s="8">
        <v>-0.6</v>
      </c>
      <c r="G25" s="8">
        <v>-0.32</v>
      </c>
      <c r="H25" s="8">
        <v>0.05</v>
      </c>
      <c r="I25" s="8">
        <v>0.13</v>
      </c>
      <c r="J25" s="8">
        <v>-1.19</v>
      </c>
      <c r="K25" s="8">
        <v>11.8</v>
      </c>
      <c r="L25" s="6" t="s">
        <v>334</v>
      </c>
    </row>
    <row r="26" ht="14.5" spans="1:12">
      <c r="A26" s="6" t="s">
        <v>353</v>
      </c>
      <c r="B26" s="8">
        <v>-1.11</v>
      </c>
      <c r="C26" s="8">
        <v>-0.75</v>
      </c>
      <c r="D26" s="8">
        <v>0.641</v>
      </c>
      <c r="E26" s="8">
        <v>0.21</v>
      </c>
      <c r="F26" s="8">
        <v>-0.91</v>
      </c>
      <c r="G26" s="8">
        <v>-0.4</v>
      </c>
      <c r="H26" s="8">
        <v>0.15</v>
      </c>
      <c r="I26" s="8">
        <v>0.57</v>
      </c>
      <c r="J26" s="8">
        <v>-0.56</v>
      </c>
      <c r="K26" s="8">
        <v>29.4</v>
      </c>
      <c r="L26" s="6" t="s">
        <v>335</v>
      </c>
    </row>
    <row r="27" ht="14.5" spans="1:12">
      <c r="A27" s="6" t="s">
        <v>354</v>
      </c>
      <c r="B27" s="8">
        <v>-1.12</v>
      </c>
      <c r="C27" s="8">
        <v>-0.38</v>
      </c>
      <c r="D27" s="8">
        <v>0.765</v>
      </c>
      <c r="E27" s="8">
        <v>0.77</v>
      </c>
      <c r="F27" s="8">
        <v>-0.24</v>
      </c>
      <c r="G27" s="8">
        <v>0.11</v>
      </c>
      <c r="H27" s="8">
        <v>0.56</v>
      </c>
      <c r="I27" s="8">
        <v>0.71</v>
      </c>
      <c r="J27" s="8">
        <v>-0.97</v>
      </c>
      <c r="K27" s="8">
        <v>32.4</v>
      </c>
      <c r="L27" s="6" t="s">
        <v>335</v>
      </c>
    </row>
    <row r="28" ht="14.5" spans="1:12">
      <c r="A28" s="6" t="s">
        <v>355</v>
      </c>
      <c r="B28" s="8">
        <v>-1.18</v>
      </c>
      <c r="C28" s="8">
        <v>-0.77</v>
      </c>
      <c r="D28" s="8">
        <v>0.192</v>
      </c>
      <c r="E28" s="8">
        <v>-0.48</v>
      </c>
      <c r="F28" s="8">
        <v>-0.77</v>
      </c>
      <c r="G28" s="8">
        <v>-0.65</v>
      </c>
      <c r="H28" s="8">
        <v>-0.52</v>
      </c>
      <c r="I28" s="8">
        <v>-0.45</v>
      </c>
      <c r="J28" s="8">
        <v>-2.17</v>
      </c>
      <c r="K28" s="8">
        <v>2.9</v>
      </c>
      <c r="L28" s="6" t="s">
        <v>334</v>
      </c>
    </row>
    <row r="29" ht="14.5" spans="1:12">
      <c r="A29" s="6" t="s">
        <v>356</v>
      </c>
      <c r="B29" s="8">
        <v>-2.21</v>
      </c>
      <c r="C29" s="8">
        <v>-1.72</v>
      </c>
      <c r="D29" s="8">
        <v>0.347</v>
      </c>
      <c r="E29" s="8">
        <v>-1.2</v>
      </c>
      <c r="F29" s="8">
        <v>-1.71</v>
      </c>
      <c r="G29" s="8">
        <v>-1.51</v>
      </c>
      <c r="H29" s="8">
        <v>-1.33</v>
      </c>
      <c r="I29" s="8">
        <v>-1.1</v>
      </c>
      <c r="J29" s="8">
        <v>-1.42</v>
      </c>
      <c r="K29" s="8">
        <v>8.8</v>
      </c>
      <c r="L29" s="6" t="s">
        <v>334</v>
      </c>
    </row>
    <row r="30" ht="14.5" spans="1:12">
      <c r="A30" s="6" t="s">
        <v>357</v>
      </c>
      <c r="B30" s="8">
        <v>-2.56</v>
      </c>
      <c r="C30" s="8">
        <v>-2.07</v>
      </c>
      <c r="D30" s="8">
        <v>0.583</v>
      </c>
      <c r="E30" s="8">
        <v>-1.19</v>
      </c>
      <c r="F30" s="8">
        <v>-2.29</v>
      </c>
      <c r="G30" s="8">
        <v>-1.9</v>
      </c>
      <c r="H30" s="8">
        <v>-1.15</v>
      </c>
      <c r="I30" s="8">
        <v>-0.92</v>
      </c>
      <c r="J30" s="8">
        <v>-0.84</v>
      </c>
      <c r="K30" s="8">
        <v>17.6</v>
      </c>
      <c r="L30" s="6" t="s">
        <v>334</v>
      </c>
    </row>
    <row r="31" ht="14.5" spans="1:12">
      <c r="A31" s="6" t="s">
        <v>173</v>
      </c>
      <c r="B31" s="8">
        <v>-2.69</v>
      </c>
      <c r="C31" s="8">
        <v>1.53</v>
      </c>
      <c r="D31" s="8">
        <v>2.373</v>
      </c>
      <c r="E31" s="8">
        <v>5.08</v>
      </c>
      <c r="F31" s="8">
        <v>1.64</v>
      </c>
      <c r="G31" s="8">
        <v>3.74</v>
      </c>
      <c r="H31" s="8">
        <v>4.44</v>
      </c>
      <c r="I31" s="8">
        <v>4.78</v>
      </c>
      <c r="J31" s="8">
        <v>-1.78</v>
      </c>
      <c r="K31" s="8">
        <v>2.9</v>
      </c>
      <c r="L31" s="6" t="s">
        <v>334</v>
      </c>
    </row>
    <row r="32" ht="14.5" spans="1:12">
      <c r="A32" s="6" t="s">
        <v>292</v>
      </c>
      <c r="B32" s="8">
        <v>-2.79</v>
      </c>
      <c r="C32" s="8">
        <v>-2.29</v>
      </c>
      <c r="D32" s="8">
        <v>1.9</v>
      </c>
      <c r="E32" s="8">
        <v>0.56</v>
      </c>
      <c r="F32" s="8">
        <v>-2.47</v>
      </c>
      <c r="G32" s="8">
        <v>-1.44</v>
      </c>
      <c r="H32" s="8">
        <v>0.17</v>
      </c>
      <c r="I32" s="8">
        <v>1.01</v>
      </c>
      <c r="J32" s="8">
        <v>-0.26</v>
      </c>
      <c r="K32" s="8">
        <v>41.2</v>
      </c>
      <c r="L32" s="6" t="s">
        <v>335</v>
      </c>
    </row>
    <row r="33" ht="14.5" spans="1:12">
      <c r="A33" s="6" t="s">
        <v>170</v>
      </c>
      <c r="B33" s="8">
        <v>-3.51</v>
      </c>
      <c r="C33" s="8">
        <v>5.7</v>
      </c>
      <c r="D33" s="8">
        <v>4.134</v>
      </c>
      <c r="E33" s="8">
        <v>11.9</v>
      </c>
      <c r="F33" s="8">
        <v>6.08</v>
      </c>
      <c r="G33" s="8">
        <v>8.43</v>
      </c>
      <c r="H33" s="8">
        <v>10.13</v>
      </c>
      <c r="I33" s="8">
        <v>11.5</v>
      </c>
      <c r="J33" s="8">
        <v>-2.23</v>
      </c>
      <c r="K33" s="8">
        <v>2.9</v>
      </c>
      <c r="L33" s="6" t="s">
        <v>334</v>
      </c>
    </row>
    <row r="34" ht="14.5" spans="1:12">
      <c r="A34" s="6" t="s">
        <v>358</v>
      </c>
      <c r="B34" s="8">
        <v>-7.88</v>
      </c>
      <c r="C34" s="8">
        <v>-6.64</v>
      </c>
      <c r="D34" s="8">
        <v>1.685</v>
      </c>
      <c r="E34" s="8">
        <v>-4.11</v>
      </c>
      <c r="F34" s="8">
        <v>-7.42</v>
      </c>
      <c r="G34" s="8">
        <v>-5.9</v>
      </c>
      <c r="H34" s="8">
        <v>-4.06</v>
      </c>
      <c r="I34" s="8">
        <v>-3.17</v>
      </c>
      <c r="J34" s="8">
        <v>-0.74</v>
      </c>
      <c r="K34" s="8">
        <v>26.5</v>
      </c>
      <c r="L34" s="6" t="s">
        <v>334</v>
      </c>
    </row>
    <row r="35" ht="14.5" spans="1:12">
      <c r="A35" s="6" t="s">
        <v>359</v>
      </c>
      <c r="B35" s="8">
        <v>-10.36</v>
      </c>
      <c r="C35" s="8">
        <v>-7.98</v>
      </c>
      <c r="D35" s="8">
        <v>1.686</v>
      </c>
      <c r="E35" s="8">
        <v>-5.45</v>
      </c>
      <c r="F35" s="8">
        <v>-8.56</v>
      </c>
      <c r="G35" s="8">
        <v>-7.27</v>
      </c>
      <c r="H35" s="8">
        <v>-5.51</v>
      </c>
      <c r="I35" s="8">
        <v>-4.85</v>
      </c>
      <c r="J35" s="8">
        <v>-1.41</v>
      </c>
      <c r="K35" s="8">
        <v>2.9</v>
      </c>
      <c r="L35" s="6" t="s">
        <v>334</v>
      </c>
    </row>
    <row r="38" ht="14.5" spans="1:12">
      <c r="A38" s="5" t="s">
        <v>360</v>
      </c>
    </row>
    <row r="39" ht="14.5" spans="1:12">
      <c r="A39" s="3" t="s">
        <v>361</v>
      </c>
      <c r="B39" s="3" t="s">
        <v>362</v>
      </c>
      <c r="C39" s="3" t="s">
        <v>363</v>
      </c>
      <c r="D39" s="3" t="s">
        <v>364</v>
      </c>
    </row>
    <row r="40" ht="14.5" spans="1:12">
      <c r="A40" s="6" t="s">
        <v>365</v>
      </c>
      <c r="B40" s="6" t="s">
        <v>366</v>
      </c>
      <c r="C40" s="6" t="s">
        <v>367</v>
      </c>
      <c r="D40" s="6" t="s">
        <v>368</v>
      </c>
    </row>
    <row r="41" ht="14.5" spans="1:12">
      <c r="A41" s="6" t="s">
        <v>369</v>
      </c>
      <c r="B41" s="6" t="s">
        <v>370</v>
      </c>
      <c r="C41" s="6" t="s">
        <v>371</v>
      </c>
      <c r="D41" s="6" t="s">
        <v>372</v>
      </c>
    </row>
    <row r="42" ht="14.5" spans="1:12">
      <c r="A42" s="6" t="s">
        <v>373</v>
      </c>
      <c r="B42" s="6" t="s">
        <v>374</v>
      </c>
      <c r="C42" s="6" t="s">
        <v>375</v>
      </c>
      <c r="D42" s="6" t="s">
        <v>376</v>
      </c>
    </row>
    <row r="43" ht="14.5" spans="1:12">
      <c r="A43" s="6" t="s">
        <v>377</v>
      </c>
      <c r="B43" s="6" t="s">
        <v>378</v>
      </c>
      <c r="C43" s="6" t="s">
        <v>379</v>
      </c>
      <c r="D43" s="6" t="s">
        <v>380</v>
      </c>
    </row>
    <row r="45" spans="1:12">
      <c r="A45" s="2" t="s">
        <v>381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opLeftCell="B1" workbookViewId="0">
      <selection activeCell="D19" sqref="D19"/>
    </sheetView>
  </sheetViews>
  <sheetFormatPr defaultColWidth="9" defaultRowHeight="14" outlineLevelCol="7"/>
  <cols>
    <col min="1" max="1" width="6" customWidth="1"/>
    <col min="2" max="2" width="20" customWidth="1"/>
    <col min="3" max="3" width="24" customWidth="1"/>
    <col min="4" max="4" width="20" customWidth="1"/>
    <col min="5" max="5" width="70" customWidth="1"/>
    <col min="6" max="6" width="20" customWidth="1"/>
    <col min="7" max="7" width="12" customWidth="1"/>
    <col min="8" max="8" width="50" customWidth="1"/>
  </cols>
  <sheetData>
    <row r="1" ht="22" customHeight="1" spans="1:8">
      <c r="A1" s="1" t="s">
        <v>382</v>
      </c>
    </row>
    <row r="2" spans="1:8">
      <c r="A2" s="2" t="s">
        <v>383</v>
      </c>
    </row>
    <row r="4" ht="14.5" spans="1:8">
      <c r="A4" s="3" t="s">
        <v>384</v>
      </c>
      <c r="B4" s="3" t="s">
        <v>385</v>
      </c>
      <c r="C4" s="3" t="s">
        <v>386</v>
      </c>
      <c r="D4" s="3" t="s">
        <v>387</v>
      </c>
      <c r="E4" s="3" t="s">
        <v>388</v>
      </c>
      <c r="F4" s="3" t="s">
        <v>389</v>
      </c>
      <c r="G4" s="3" t="s">
        <v>390</v>
      </c>
      <c r="H4" s="3" t="s">
        <v>391</v>
      </c>
    </row>
    <row r="5" ht="58" customHeight="1" spans="1:8">
      <c r="A5" s="7">
        <v>1</v>
      </c>
      <c r="B5" s="6" t="s">
        <v>392</v>
      </c>
      <c r="C5" s="6" t="s">
        <v>393</v>
      </c>
      <c r="D5" s="6" t="s">
        <v>394</v>
      </c>
      <c r="E5" s="4" t="s">
        <v>395</v>
      </c>
      <c r="F5" s="6" t="s">
        <v>396</v>
      </c>
      <c r="G5" s="6" t="s">
        <v>397</v>
      </c>
      <c r="H5" s="6" t="s">
        <v>398</v>
      </c>
    </row>
    <row r="6" ht="58" customHeight="1" spans="1:8">
      <c r="A6" s="7">
        <v>2</v>
      </c>
      <c r="B6" s="6" t="s">
        <v>399</v>
      </c>
      <c r="C6" s="6" t="s">
        <v>400</v>
      </c>
      <c r="D6" s="6" t="s">
        <v>401</v>
      </c>
      <c r="E6" s="4" t="s">
        <v>402</v>
      </c>
      <c r="F6" s="6" t="s">
        <v>403</v>
      </c>
      <c r="G6" s="6" t="s">
        <v>404</v>
      </c>
      <c r="H6" s="6" t="s">
        <v>405</v>
      </c>
    </row>
    <row r="7" ht="58" customHeight="1" spans="1:8">
      <c r="A7" s="7">
        <v>3</v>
      </c>
      <c r="B7" s="6" t="s">
        <v>406</v>
      </c>
      <c r="C7" s="6" t="s">
        <v>407</v>
      </c>
      <c r="D7" s="6" t="s">
        <v>408</v>
      </c>
      <c r="E7" s="4" t="s">
        <v>409</v>
      </c>
      <c r="F7" s="6" t="s">
        <v>410</v>
      </c>
      <c r="G7" s="6" t="s">
        <v>411</v>
      </c>
      <c r="H7" s="6" t="s">
        <v>412</v>
      </c>
    </row>
    <row r="8" ht="58" customHeight="1" spans="1:8">
      <c r="A8" s="7">
        <v>4</v>
      </c>
      <c r="B8" s="6" t="s">
        <v>413</v>
      </c>
      <c r="C8" s="6" t="s">
        <v>414</v>
      </c>
      <c r="D8" s="6" t="s">
        <v>415</v>
      </c>
      <c r="E8" s="4" t="s">
        <v>416</v>
      </c>
      <c r="F8" s="6" t="s">
        <v>417</v>
      </c>
      <c r="G8" s="6" t="s">
        <v>418</v>
      </c>
      <c r="H8" s="6" t="s">
        <v>419</v>
      </c>
    </row>
    <row r="9" ht="58" customHeight="1" spans="1:8">
      <c r="A9" s="7">
        <v>5</v>
      </c>
      <c r="B9" s="6" t="s">
        <v>420</v>
      </c>
      <c r="C9" s="6" t="s">
        <v>407</v>
      </c>
      <c r="D9" s="6" t="s">
        <v>421</v>
      </c>
      <c r="E9" s="4" t="s">
        <v>422</v>
      </c>
      <c r="F9" s="6" t="s">
        <v>423</v>
      </c>
      <c r="G9" s="6" t="s">
        <v>397</v>
      </c>
      <c r="H9" s="6" t="s">
        <v>419</v>
      </c>
    </row>
    <row r="10" ht="58" customHeight="1" spans="1:8">
      <c r="A10" s="7">
        <v>6</v>
      </c>
      <c r="B10" s="6" t="s">
        <v>424</v>
      </c>
      <c r="C10" s="6" t="s">
        <v>425</v>
      </c>
      <c r="D10" s="6" t="s">
        <v>426</v>
      </c>
      <c r="E10" s="4" t="s">
        <v>427</v>
      </c>
      <c r="F10" s="6" t="s">
        <v>428</v>
      </c>
      <c r="G10" s="6" t="s">
        <v>397</v>
      </c>
      <c r="H10" s="6" t="s">
        <v>419</v>
      </c>
    </row>
    <row r="11" ht="58" customHeight="1" spans="1:8">
      <c r="A11" s="7">
        <v>7</v>
      </c>
      <c r="B11" s="6" t="s">
        <v>429</v>
      </c>
      <c r="C11" s="6" t="s">
        <v>407</v>
      </c>
      <c r="D11" s="6" t="s">
        <v>430</v>
      </c>
      <c r="E11" s="4" t="s">
        <v>431</v>
      </c>
      <c r="F11" s="6" t="s">
        <v>432</v>
      </c>
      <c r="G11" s="6" t="s">
        <v>397</v>
      </c>
      <c r="H11" s="6" t="s">
        <v>398</v>
      </c>
    </row>
    <row r="12" ht="58" customHeight="1" spans="1:8">
      <c r="A12" s="7">
        <v>8</v>
      </c>
      <c r="B12" s="6" t="s">
        <v>433</v>
      </c>
      <c r="C12" s="6" t="s">
        <v>434</v>
      </c>
      <c r="D12" s="6" t="s">
        <v>435</v>
      </c>
      <c r="E12" s="4" t="s">
        <v>436</v>
      </c>
      <c r="F12" s="6" t="s">
        <v>437</v>
      </c>
      <c r="G12" s="6" t="s">
        <v>438</v>
      </c>
      <c r="H12" s="6" t="s">
        <v>439</v>
      </c>
    </row>
    <row r="13" ht="58" customHeight="1" spans="1:8">
      <c r="A13" s="7">
        <v>9</v>
      </c>
      <c r="B13" s="6" t="s">
        <v>440</v>
      </c>
      <c r="C13" s="6" t="s">
        <v>407</v>
      </c>
      <c r="D13" s="6" t="s">
        <v>441</v>
      </c>
      <c r="E13" s="4" t="s">
        <v>442</v>
      </c>
      <c r="F13" s="6" t="s">
        <v>443</v>
      </c>
      <c r="G13" s="6" t="s">
        <v>438</v>
      </c>
      <c r="H13" s="6" t="s">
        <v>439</v>
      </c>
    </row>
    <row r="14" ht="58" customHeight="1" spans="1:8">
      <c r="A14" s="7">
        <v>10</v>
      </c>
      <c r="B14" s="6" t="s">
        <v>444</v>
      </c>
      <c r="C14" s="6" t="s">
        <v>445</v>
      </c>
      <c r="D14" s="6" t="s">
        <v>446</v>
      </c>
      <c r="E14" s="4" t="s">
        <v>447</v>
      </c>
      <c r="F14" s="6" t="s">
        <v>448</v>
      </c>
      <c r="G14" s="6" t="s">
        <v>449</v>
      </c>
      <c r="H14" s="6" t="s">
        <v>450</v>
      </c>
    </row>
    <row r="15" ht="58" customHeight="1" spans="1:8">
      <c r="A15" s="7">
        <v>11</v>
      </c>
      <c r="B15" s="6" t="s">
        <v>451</v>
      </c>
      <c r="C15" s="6" t="s">
        <v>452</v>
      </c>
      <c r="D15" s="6" t="s">
        <v>453</v>
      </c>
      <c r="E15" s="4" t="s">
        <v>454</v>
      </c>
      <c r="F15" s="6" t="s">
        <v>455</v>
      </c>
      <c r="G15" s="6" t="s">
        <v>456</v>
      </c>
      <c r="H15" s="6" t="s">
        <v>457</v>
      </c>
    </row>
    <row r="16" ht="58" customHeight="1" spans="1:8">
      <c r="A16" s="7">
        <v>12</v>
      </c>
      <c r="B16" s="6" t="s">
        <v>458</v>
      </c>
      <c r="C16" s="6" t="s">
        <v>459</v>
      </c>
      <c r="D16" s="6" t="s">
        <v>460</v>
      </c>
      <c r="E16" s="4" t="s">
        <v>461</v>
      </c>
      <c r="F16" s="6" t="s">
        <v>462</v>
      </c>
      <c r="G16" s="6" t="s">
        <v>397</v>
      </c>
      <c r="H16" s="6" t="s">
        <v>398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B32" sqref="B32"/>
    </sheetView>
  </sheetViews>
  <sheetFormatPr defaultColWidth="9" defaultRowHeight="14" outlineLevelCol="5"/>
  <cols>
    <col min="1" max="1" width="22" customWidth="1"/>
    <col min="2" max="2" width="66" customWidth="1"/>
    <col min="3" max="3" width="42" customWidth="1"/>
    <col min="4" max="4" width="20" customWidth="1"/>
    <col min="5" max="5" width="12" customWidth="1"/>
    <col min="6" max="6" width="40" customWidth="1"/>
  </cols>
  <sheetData>
    <row r="1" ht="22" customHeight="1" spans="1:6">
      <c r="A1" s="1" t="s">
        <v>463</v>
      </c>
    </row>
    <row r="2" spans="1:6">
      <c r="A2" s="2" t="s">
        <v>464</v>
      </c>
    </row>
    <row r="4" ht="14.5" spans="1:6">
      <c r="A4" s="3" t="s">
        <v>465</v>
      </c>
      <c r="B4" s="3" t="s">
        <v>466</v>
      </c>
      <c r="C4" s="3" t="s">
        <v>467</v>
      </c>
      <c r="D4" s="3" t="s">
        <v>468</v>
      </c>
      <c r="E4" s="3" t="s">
        <v>469</v>
      </c>
      <c r="F4" s="3" t="s">
        <v>470</v>
      </c>
    </row>
    <row r="5" ht="30" customHeight="1" spans="1:6">
      <c r="A5" s="4" t="s">
        <v>471</v>
      </c>
      <c r="B5" s="4" t="s">
        <v>472</v>
      </c>
      <c r="C5" s="4" t="s">
        <v>473</v>
      </c>
      <c r="D5" s="4" t="s">
        <v>474</v>
      </c>
      <c r="E5" s="4" t="s">
        <v>475</v>
      </c>
      <c r="F5" s="4" t="s">
        <v>476</v>
      </c>
    </row>
    <row r="6" ht="30" customHeight="1" spans="1:6">
      <c r="A6" s="4" t="s">
        <v>477</v>
      </c>
      <c r="B6" s="4" t="s">
        <v>472</v>
      </c>
      <c r="C6" s="4" t="s">
        <v>478</v>
      </c>
      <c r="D6" s="4" t="s">
        <v>479</v>
      </c>
      <c r="E6" s="4" t="s">
        <v>459</v>
      </c>
      <c r="F6" s="4" t="s">
        <v>480</v>
      </c>
    </row>
    <row r="7" ht="30" customHeight="1" spans="1:6">
      <c r="A7" s="4" t="s">
        <v>481</v>
      </c>
      <c r="B7" s="4" t="s">
        <v>482</v>
      </c>
      <c r="C7" s="4" t="s">
        <v>483</v>
      </c>
      <c r="D7" s="4" t="s">
        <v>479</v>
      </c>
      <c r="E7" s="4" t="s">
        <v>459</v>
      </c>
      <c r="F7" s="4" t="s">
        <v>484</v>
      </c>
    </row>
    <row r="8" ht="30" customHeight="1" spans="1:6">
      <c r="A8" s="4" t="s">
        <v>485</v>
      </c>
      <c r="B8" s="4" t="s">
        <v>472</v>
      </c>
      <c r="C8" s="4" t="s">
        <v>486</v>
      </c>
      <c r="D8" s="4" t="s">
        <v>487</v>
      </c>
      <c r="E8" s="4" t="s">
        <v>475</v>
      </c>
      <c r="F8" s="4" t="s">
        <v>488</v>
      </c>
    </row>
    <row r="9" ht="30" customHeight="1" spans="1:6">
      <c r="A9" s="4" t="s">
        <v>489</v>
      </c>
      <c r="B9" s="4" t="s">
        <v>490</v>
      </c>
      <c r="C9" s="4" t="s">
        <v>491</v>
      </c>
      <c r="D9" s="4" t="s">
        <v>492</v>
      </c>
      <c r="E9" s="4" t="s">
        <v>459</v>
      </c>
      <c r="F9" s="4" t="s">
        <v>493</v>
      </c>
    </row>
    <row r="10" ht="30" customHeight="1" spans="1:6">
      <c r="A10" s="4" t="s">
        <v>494</v>
      </c>
      <c r="B10" s="4" t="s">
        <v>495</v>
      </c>
      <c r="C10" s="4" t="s">
        <v>496</v>
      </c>
      <c r="D10" s="4" t="s">
        <v>497</v>
      </c>
      <c r="E10" s="4" t="s">
        <v>475</v>
      </c>
      <c r="F10" s="4" t="s">
        <v>498</v>
      </c>
    </row>
    <row r="11" ht="30" customHeight="1" spans="1:6">
      <c r="A11" s="4" t="s">
        <v>499</v>
      </c>
      <c r="B11" s="4" t="s">
        <v>500</v>
      </c>
      <c r="C11" s="4" t="s">
        <v>501</v>
      </c>
      <c r="D11" s="4" t="s">
        <v>502</v>
      </c>
      <c r="E11" s="4" t="s">
        <v>459</v>
      </c>
      <c r="F11" s="4" t="s">
        <v>503</v>
      </c>
    </row>
    <row r="12" ht="30" customHeight="1" spans="1:6">
      <c r="A12" s="4" t="s">
        <v>504</v>
      </c>
      <c r="B12" s="4" t="s">
        <v>482</v>
      </c>
      <c r="C12" s="4" t="s">
        <v>505</v>
      </c>
      <c r="D12" s="4" t="s">
        <v>506</v>
      </c>
      <c r="E12" s="4" t="s">
        <v>507</v>
      </c>
      <c r="F12" s="4" t="s">
        <v>508</v>
      </c>
    </row>
    <row r="13" ht="30" customHeight="1" spans="1:6">
      <c r="A13" s="4" t="s">
        <v>509</v>
      </c>
      <c r="B13" s="4" t="s">
        <v>490</v>
      </c>
      <c r="C13" s="4" t="s">
        <v>510</v>
      </c>
      <c r="D13" s="4" t="s">
        <v>511</v>
      </c>
      <c r="E13" s="4" t="s">
        <v>512</v>
      </c>
      <c r="F13" s="4" t="s">
        <v>513</v>
      </c>
    </row>
    <row r="16" ht="14.5" spans="1:6">
      <c r="A16" s="5" t="s">
        <v>514</v>
      </c>
    </row>
    <row r="17" ht="14.5" spans="1:3">
      <c r="A17" s="3" t="s">
        <v>515</v>
      </c>
      <c r="B17" s="3" t="s">
        <v>516</v>
      </c>
      <c r="C17" s="3" t="s">
        <v>517</v>
      </c>
    </row>
    <row r="18" ht="14.5" spans="1:3">
      <c r="A18" s="6" t="s">
        <v>518</v>
      </c>
      <c r="B18" s="6" t="s">
        <v>519</v>
      </c>
      <c r="C18" s="6" t="s">
        <v>520</v>
      </c>
    </row>
    <row r="19" ht="14.5" spans="1:3">
      <c r="A19" s="6" t="s">
        <v>521</v>
      </c>
      <c r="B19" s="6" t="s">
        <v>522</v>
      </c>
      <c r="C19" s="6" t="s">
        <v>520</v>
      </c>
    </row>
    <row r="20" ht="14.5" spans="1:3">
      <c r="A20" s="6" t="s">
        <v>523</v>
      </c>
      <c r="B20" s="6" t="s">
        <v>524</v>
      </c>
      <c r="C20" s="6" t="s">
        <v>520</v>
      </c>
    </row>
    <row r="21" ht="14.5" spans="1:3">
      <c r="A21" s="6" t="s">
        <v>525</v>
      </c>
      <c r="B21" s="6" t="s">
        <v>526</v>
      </c>
      <c r="C21" s="6" t="s">
        <v>520</v>
      </c>
    </row>
    <row r="22" ht="14.5" spans="1:3">
      <c r="A22" s="6" t="s">
        <v>527</v>
      </c>
      <c r="B22" s="6" t="s">
        <v>528</v>
      </c>
      <c r="C22" s="6" t="s">
        <v>520</v>
      </c>
    </row>
    <row r="23" ht="14.5" spans="1:3">
      <c r="A23" s="6" t="s">
        <v>529</v>
      </c>
      <c r="B23" s="6" t="s">
        <v>530</v>
      </c>
      <c r="C23" s="6" t="s">
        <v>520</v>
      </c>
    </row>
    <row r="24" ht="14.5" spans="1:3">
      <c r="A24" s="6" t="s">
        <v>531</v>
      </c>
      <c r="B24" s="6" t="s">
        <v>532</v>
      </c>
      <c r="C24" s="6" t="s">
        <v>520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1-基金规模结构</vt:lpstr>
      <vt:lpstr>2-行业配置比例热力图</vt:lpstr>
      <vt:lpstr>3-行业集中度CR_HHI</vt:lpstr>
      <vt:lpstr>4-行业超配比例</vt:lpstr>
      <vt:lpstr>5-个股拥挤度</vt:lpstr>
      <vt:lpstr>5b-最新抱团股Top20</vt:lpstr>
      <vt:lpstr>6-基金仓位变化</vt:lpstr>
      <vt:lpstr>7-被动vs主动</vt:lpstr>
      <vt:lpstr>8-阈值与预警体系</vt:lpstr>
      <vt:lpstr>9-券商观点复核</vt:lpstr>
      <vt:lpstr>10-数据来源与验证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十七</cp:lastModifiedBy>
  <dcterms:created xsi:type="dcterms:W3CDTF">2026-09-29T13:17:00Z</dcterms:created>
  <dcterms:modified xsi:type="dcterms:W3CDTF">2026-09-29T09:46:22Z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33216EB94C464B7FA21C0520FDEE77E5_12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